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orte WPS\Desktop\"/>
    </mc:Choice>
  </mc:AlternateContent>
  <workbookProtection workbookAlgorithmName="SHA-512" workbookHashValue="F/ONpLrlVfK8BnaaxZ/YNmFKTNq0DFyj69uujRRjRG1RQ6ETlVxRJDEeoEpD+cP9Vhap8f2yc4+Yqx2sLadADw==" workbookSaltValue="W7pQdZ/sKs7YRbnFpI1j4g==" workbookSpinCount="100000" lockStructure="1"/>
  <bookViews>
    <workbookView xWindow="20370" yWindow="-4785" windowWidth="29040" windowHeight="15840" tabRatio="621" firstSheet="3" activeTab="9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1" r:id="rId10"/>
    <sheet name="Novembro" sheetId="12" r:id="rId11"/>
    <sheet name="Dezembro" sheetId="13" r:id="rId12"/>
  </sheets>
  <definedNames>
    <definedName name="_xlnm._FilterDatabase" localSheetId="0" hidden="1">Janeiro!$A$5:$K$33</definedName>
    <definedName name="_xlnm.Print_Area" localSheetId="0">Janeiro!$A$1:$K$44</definedName>
  </definedNames>
  <calcPr calcId="152511"/>
</workbook>
</file>

<file path=xl/calcChain.xml><?xml version="1.0" encoding="utf-8"?>
<calcChain xmlns="http://schemas.openxmlformats.org/spreadsheetml/2006/main">
  <c r="I35" i="13" l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I35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I35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I35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I35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I35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I35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I35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I35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I35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I35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I35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35" i="3" l="1"/>
  <c r="G35" i="9"/>
  <c r="G35" i="5"/>
  <c r="G35" i="1"/>
  <c r="G35" i="12"/>
  <c r="G35" i="2"/>
  <c r="G35" i="4"/>
  <c r="G35" i="6"/>
  <c r="G35" i="8"/>
  <c r="G35" i="11"/>
  <c r="G35" i="7"/>
  <c r="G35" i="13"/>
</calcChain>
</file>

<file path=xl/comments1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2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3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4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5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6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7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8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9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10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11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comments12.xml><?xml version="1.0" encoding="utf-8"?>
<comments xmlns="http://schemas.openxmlformats.org/spreadsheetml/2006/main">
  <authors>
    <author>WPS Tecnologia</author>
  </authors>
  <commentList>
    <comment ref="H8" authorId="0" shapeId="0">
      <text>
        <r>
          <rPr>
            <b/>
            <sz val="9"/>
            <color indexed="81"/>
            <rFont val="Segoe UI"/>
            <family val="2"/>
          </rPr>
          <t>WPS Tecnologia:</t>
        </r>
        <r>
          <rPr>
            <sz val="9"/>
            <color indexed="81"/>
            <rFont val="Segoe UI"/>
            <family val="2"/>
          </rPr>
          <t xml:space="preserve">
EX.: 
* Abasteceu 25 litros com: etanol E-25.
* Abasteceu 25 litros com gasolina: G-25</t>
        </r>
      </text>
    </comment>
  </commentList>
</comments>
</file>

<file path=xl/sharedStrings.xml><?xml version="1.0" encoding="utf-8"?>
<sst xmlns="http://schemas.openxmlformats.org/spreadsheetml/2006/main" count="432" uniqueCount="82">
  <si>
    <t>DATA</t>
  </si>
  <si>
    <t>HORÁRIO</t>
  </si>
  <si>
    <t xml:space="preserve">KM </t>
  </si>
  <si>
    <t>ABASTECIMENTO</t>
  </si>
  <si>
    <t>SAÍDA</t>
  </si>
  <si>
    <t>RODADOS</t>
  </si>
  <si>
    <t>TOTAL KM RODADOS</t>
  </si>
  <si>
    <t>ITINERÁRIO</t>
  </si>
  <si>
    <t>CHEGADA</t>
  </si>
  <si>
    <t>Valor</t>
  </si>
  <si>
    <t>TOTAL</t>
  </si>
  <si>
    <t>FORMULÁRIO DE CONTROLE DE UTILIZAÇÃO DO VEÍCULO</t>
  </si>
  <si>
    <t>CONTUDOR</t>
  </si>
  <si>
    <t xml:space="preserve">Veículo - </t>
  </si>
  <si>
    <t xml:space="preserve">Placa - </t>
  </si>
  <si>
    <t>FIAT UNO</t>
  </si>
  <si>
    <t>Tipo/Qtde</t>
  </si>
  <si>
    <t>NRU3J90</t>
  </si>
  <si>
    <t>WPS-CLASS-WPS</t>
  </si>
  <si>
    <t>RAFAEL</t>
  </si>
  <si>
    <t>WPS-AG 14 JULHO-WPS</t>
  </si>
  <si>
    <t>WPS-CLASS-AG PQ NAÇÕES-WPS</t>
  </si>
  <si>
    <t>WPS-AG BANDEIRANTES-SEDE-WPS</t>
  </si>
  <si>
    <t>WPS-PQ PODERES-WPS</t>
  </si>
  <si>
    <t>WILIAM</t>
  </si>
  <si>
    <t>WPS-AG JULIO CASTILHO-WPS</t>
  </si>
  <si>
    <t>ABNER</t>
  </si>
  <si>
    <t>WPS-SEDE-WPS-SEDE-WPS</t>
  </si>
  <si>
    <t>WPS-SEDE-AG PQ NAÇÕES-CLASS-WPS</t>
  </si>
  <si>
    <t>WPS-SEDE-WPS</t>
  </si>
  <si>
    <t>WPS-SEDE-AG PQ NAÇÕS-WPS</t>
  </si>
  <si>
    <t>WPS-SEDE-WPS-AG AFONSO PENA-WPS</t>
  </si>
  <si>
    <t>WPS-CLASS-AG PQ NAÇÕES-SEDE-WPS</t>
  </si>
  <si>
    <t>G-22</t>
  </si>
  <si>
    <t>WPS-SEDE-PQ.NAÇÕES-WPS</t>
  </si>
  <si>
    <t>12:30:000</t>
  </si>
  <si>
    <t>WPS-UFMS-WPS</t>
  </si>
  <si>
    <t>WPS-CLASS-SEDE-CVA-WPS</t>
  </si>
  <si>
    <t>WPS-AG BANDEIRANTES-SEDE-CVA-WPS</t>
  </si>
  <si>
    <t>WPS-GALEÃO-WPS</t>
  </si>
  <si>
    <t>WPS-14 JULHO-GALEÃO-WPS</t>
  </si>
  <si>
    <t>WPS - 14 de JULHO - SEDE - CASA(RAFAEL)-TAMANDARÉ - CLASS - WPS</t>
  </si>
  <si>
    <t>WPS-CD SICREDI-WPS</t>
  </si>
  <si>
    <t>WPS-AG AFONSO PENA-WPS</t>
  </si>
  <si>
    <t>WPS - CD Sicredi - WPS</t>
  </si>
  <si>
    <t>WPS-GALEAO-WPS</t>
  </si>
  <si>
    <t>WPS-CD SICREDI - WPS</t>
  </si>
  <si>
    <t>WPS-CD-Res. Wiliam-WPS-CD-WPS</t>
  </si>
  <si>
    <t>E-31,78</t>
  </si>
  <si>
    <t>WPS- HU - CD - RESTAURANTE - CD - WPS</t>
  </si>
  <si>
    <t>WPS-HU-AFONSO PENA-WPS</t>
  </si>
  <si>
    <t>WPS-UFMS-GUAICURUS-WPS</t>
  </si>
  <si>
    <t>WPS-SEDE-PQ.NAÇÕES-SEDE-WPS</t>
  </si>
  <si>
    <t>WPS-S1INVESTMENT-WPS</t>
  </si>
  <si>
    <t>WPS-OCB-WPS</t>
  </si>
  <si>
    <t>WPS- CD SEDE - WPS</t>
  </si>
  <si>
    <t>WPS - BANDEIRANTES - WPS</t>
  </si>
  <si>
    <t>WPS - AFONSO PENA - WPS</t>
  </si>
  <si>
    <t>WPS - SEDE- CD SEDE - WPS</t>
  </si>
  <si>
    <t>WPS-CD Sede - GUAICURUS - WPS</t>
  </si>
  <si>
    <t>WPS - CD SICREDI - WPS</t>
  </si>
  <si>
    <t>WPS - CLASS - CD SEDE - RESTAURANTE - CD SEDE - WPS</t>
  </si>
  <si>
    <t>WPS-AGBANDEIRANTES-WPS</t>
  </si>
  <si>
    <t>WPS-KN TELECOM-WPS</t>
  </si>
  <si>
    <t>WPS-CD-AG HU-CD- WPS</t>
  </si>
  <si>
    <t>WPS - NABARRETE (NU) - WPS</t>
  </si>
  <si>
    <t>WPS-AGBAND-SEDE-WPS</t>
  </si>
  <si>
    <t>WPS -SEDE -WPS</t>
  </si>
  <si>
    <t>wps-cd-wps</t>
  </si>
  <si>
    <t>Abner</t>
  </si>
  <si>
    <t>WPS- CD SEDE- ALMOÇO -CD SEDE - WPS</t>
  </si>
  <si>
    <t>wps-cd sede-wps</t>
  </si>
  <si>
    <t>WPS - PARQUE NAÇÕES - WPS</t>
  </si>
  <si>
    <t>WPS-CD-WPS</t>
  </si>
  <si>
    <t>G-24,63</t>
  </si>
  <si>
    <t>WPS-CD-FORT. A-CASA-WPS-CASA</t>
  </si>
  <si>
    <t>CASA-CD SEDE-CASA</t>
  </si>
  <si>
    <t>CASA-CD SEDE-ALMOÇO-CD SEDE-CASA</t>
  </si>
  <si>
    <t>WPS- CD C7 -WPS</t>
  </si>
  <si>
    <t>WPS - CMCG - WPS</t>
  </si>
  <si>
    <t>WPS-JÚLIO CASTILHO -WPS</t>
  </si>
  <si>
    <t>wps-cd sede-14.Julho-WPS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</si>
</sst>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[$-F400]h:mm:ss\ AM/PM"/>
  </numFmts>
  <fonts count="8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rgb="FFFF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 applyProtection="1">
      <alignment vertical="top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0" borderId="5" xfId="0" applyNumberFormat="1" applyFont="1" applyBorder="1" applyAlignment="1" applyProtection="1">
      <alignment horizontal="center" vertical="center"/>
      <protection locked="0"/>
    </xf>
    <xf numFmtId="14" fontId="3" fillId="0" borderId="8" xfId="0" applyNumberFormat="1" applyFont="1" applyBorder="1" applyAlignment="1" applyProtection="1">
      <alignment horizontal="center" vertical="center"/>
      <protection locked="0"/>
    </xf>
    <xf numFmtId="14" fontId="2" fillId="0" borderId="8" xfId="0" applyNumberFormat="1" applyFont="1" applyBorder="1" applyAlignment="1" applyProtection="1">
      <alignment horizontal="center"/>
      <protection locked="0"/>
    </xf>
    <xf numFmtId="164" fontId="3" fillId="0" borderId="8" xfId="0" applyNumberFormat="1" applyFont="1" applyBorder="1" applyAlignment="1" applyProtection="1">
      <alignment horizontal="center" vertical="center"/>
      <protection locked="0"/>
    </xf>
    <xf numFmtId="164" fontId="3" fillId="0" borderId="5" xfId="0" applyNumberFormat="1" applyFont="1" applyBorder="1" applyAlignment="1" applyProtection="1">
      <alignment horizontal="center" vertical="center"/>
      <protection locked="0"/>
    </xf>
    <xf numFmtId="164" fontId="2" fillId="0" borderId="8" xfId="0" applyNumberFormat="1" applyFont="1" applyBorder="1" applyProtection="1">
      <protection locked="0"/>
    </xf>
    <xf numFmtId="164" fontId="2" fillId="0" borderId="10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 applyProtection="1">
      <alignment horizontal="left" vertical="center"/>
      <protection locked="0"/>
    </xf>
    <xf numFmtId="164" fontId="3" fillId="0" borderId="10" xfId="0" applyNumberFormat="1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/>
      <protection hidden="1"/>
    </xf>
    <xf numFmtId="44" fontId="3" fillId="3" borderId="5" xfId="1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164" fontId="3" fillId="0" borderId="6" xfId="0" applyNumberFormat="1" applyFont="1" applyBorder="1" applyAlignment="1" applyProtection="1">
      <alignment horizontal="center" vertical="center" wrapText="1"/>
      <protection locked="0"/>
    </xf>
    <xf numFmtId="44" fontId="3" fillId="3" borderId="8" xfId="1" applyFont="1" applyFill="1" applyBorder="1" applyAlignment="1" applyProtection="1">
      <alignment horizontal="center" vertical="center"/>
      <protection locked="0"/>
    </xf>
    <xf numFmtId="44" fontId="2" fillId="3" borderId="6" xfId="1" applyFont="1" applyFill="1" applyBorder="1" applyAlignment="1" applyProtection="1">
      <alignment horizontal="center"/>
      <protection locked="0"/>
    </xf>
    <xf numFmtId="164" fontId="3" fillId="0" borderId="10" xfId="0" applyNumberFormat="1" applyFont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4" fontId="3" fillId="3" borderId="4" xfId="1" applyFont="1" applyFill="1" applyBorder="1" applyAlignment="1" applyProtection="1">
      <alignment horizontal="center" vertical="center" wrapText="1"/>
      <protection hidden="1"/>
    </xf>
    <xf numFmtId="44" fontId="3" fillId="3" borderId="11" xfId="1" applyFont="1" applyFill="1" applyBorder="1" applyAlignment="1" applyProtection="1">
      <alignment horizontal="center" vertical="center" wrapText="1"/>
      <protection hidden="1"/>
    </xf>
    <xf numFmtId="44" fontId="3" fillId="3" borderId="5" xfId="1" applyFont="1" applyFill="1" applyBorder="1" applyAlignment="1" applyProtection="1">
      <alignment horizontal="center" vertical="center" wrapText="1"/>
      <protection hidden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D2045286-B43A-4057-88B2-D4CAD7636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A07D52E-9DC5-48F4-91D8-D8D530BF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816C67DF-CB49-4539-BE9B-3BA4A936A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D28D55CF-4730-4192-A0FB-4DB8BB7CF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AC33FAA2-025A-4399-9B4E-CFCAC515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607CD7EF-A58F-40C2-9C06-3677587E1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E0A72524-F3E0-43D0-A7EA-6AE8F20D4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B6FA65C9-656B-415F-A981-69F92D31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8D3779B0-8FE7-4C58-955B-A86C1452D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91D10917-0E1C-4B8F-8BC6-3DCF035B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65D4CC1-3D2C-4FEB-B2C4-C2B94B2A2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2381250</xdr:colOff>
      <xdr:row>4</xdr:row>
      <xdr:rowOff>135298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555026E7-946C-4B29-B861-B009C660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2314575" cy="849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showGridLines="0" zoomScaleNormal="100" zoomScaleSheetLayoutView="100" zoomScalePageLayoutView="80" workbookViewId="0">
      <pane ySplit="1" topLeftCell="A2" activePane="bottomLeft" state="frozen"/>
      <selection pane="bottomLeft" activeCell="A9" sqref="A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J3h/h6a6B0KzfRvG6LTrYWIwlMRWvNcqZHdwnmYy73yMbFZ91Ar7Ps3Z+FeOZTHXQ8hVGDPH303OWJsjvDGkWA==" saltValue="4jQfS59Y7BhwIv5E+KaJHg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3:H3"/>
    <mergeCell ref="C2:H2"/>
    <mergeCell ref="G4:H4"/>
    <mergeCell ref="B5:H6"/>
    <mergeCell ref="E35:F35"/>
    <mergeCell ref="A7:A8"/>
    <mergeCell ref="B7:B8"/>
    <mergeCell ref="H7:I7"/>
    <mergeCell ref="I35:K35"/>
    <mergeCell ref="J7:K8"/>
  </mergeCells>
  <printOptions horizontalCentered="1" verticalCentered="1"/>
  <pageMargins left="0.25" right="0.25" top="0.75" bottom="0.75" header="0.3" footer="0.3"/>
  <pageSetup paperSize="9" scale="72" fitToWidth="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workbookViewId="0">
      <selection activeCell="A9" sqref="A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AaemZgb/dhfQVqVsre7mZA7miTk19np7qA3rDVu/nDW4XVaoboZcXjfyIOyMubaL9n5hxp917J5Yn9N/KI66Lw==" saltValue="qTAorU/UaL7ky3zKkc/sQQ==" spinCount="100000" sheet="1" objects="1" scenarios="1"/>
  <mergeCells count="16">
    <mergeCell ref="H7:I7"/>
    <mergeCell ref="J7:K8"/>
    <mergeCell ref="E35:F35"/>
    <mergeCell ref="I35:K35"/>
    <mergeCell ref="A37:D43"/>
    <mergeCell ref="E37:K38"/>
    <mergeCell ref="E40:K40"/>
    <mergeCell ref="E42:K42"/>
    <mergeCell ref="E43:K43"/>
    <mergeCell ref="A7:A8"/>
    <mergeCell ref="B7:B8"/>
    <mergeCell ref="C2:H2"/>
    <mergeCell ref="C3:H3"/>
    <mergeCell ref="G4:H4"/>
    <mergeCell ref="B5:H6"/>
    <mergeCell ref="A2:A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workbookViewId="0">
      <selection activeCell="A9" sqref="A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p1i+eT4E0eIaQDejX8DPGFujUElxjrJniwXSqMPEM8g2WvP/GNPlxOgH19cINMhgLofa5ZmVwtS0dAaKplwc9w==" saltValue="stbg/hSTa5J+0cMziq6pTw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workbookViewId="0">
      <selection activeCell="A9" sqref="A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tHvjSGlCmnrPFMWwrKflPJukcS4LqAnXDPZqmQzzCs1KAwCAy9mNLNbS0MZXz17E/6Tm1QSKMHXsM5fr5vug0w==" saltValue="QjCfqD8wx5kid2nySxtUsg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workbookViewId="0">
      <selection activeCell="A9" sqref="A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AQ2tMd3TCzk8r0cPQ4K8tWiRonHmyOSgNWmPSyVQD7Ux4CTc7OrW/FfvI99DvDLstUi/aFtDZHKE0uEZI7c8Dg==" saltValue="btJguZMFJ/8YJOnde3IEpw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topLeftCell="A4" workbookViewId="0">
      <selection activeCell="A9" sqref="A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zqP44FzkRZmfg/AuZrs5AU/1W0xEdOmhDA7qOdcEa7HRpEcOzvR+qa/ZWZ18HymKW/n4R9VdxvxKmAybmfHR9Q==" saltValue="NIAUmzCPGikL2qUSQeU/2Q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topLeftCell="A16" workbookViewId="0">
      <selection activeCell="A30" sqref="A30:J30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 t="s">
        <v>18</v>
      </c>
      <c r="B9" s="30">
        <v>45839</v>
      </c>
      <c r="C9" s="33">
        <v>0.375</v>
      </c>
      <c r="D9" s="5">
        <v>97523</v>
      </c>
      <c r="E9" s="39">
        <v>0.45833333333333331</v>
      </c>
      <c r="F9" s="40">
        <v>97536</v>
      </c>
      <c r="G9" s="41">
        <f>F9-D9</f>
        <v>13</v>
      </c>
      <c r="H9" s="3"/>
      <c r="I9" s="42"/>
      <c r="J9" s="43" t="s">
        <v>19</v>
      </c>
      <c r="K9" s="44"/>
    </row>
    <row r="10" spans="1:11" ht="18" customHeight="1" x14ac:dyDescent="0.2">
      <c r="A10" s="3" t="s">
        <v>20</v>
      </c>
      <c r="B10" s="30">
        <v>45840</v>
      </c>
      <c r="C10" s="34">
        <v>0.375</v>
      </c>
      <c r="D10" s="4">
        <v>97536</v>
      </c>
      <c r="E10" s="39">
        <v>0.45833333333333331</v>
      </c>
      <c r="F10" s="45">
        <v>97543</v>
      </c>
      <c r="G10" s="41">
        <f t="shared" ref="G10:G23" si="0">F10-D10</f>
        <v>7</v>
      </c>
      <c r="H10" s="3"/>
      <c r="I10" s="42"/>
      <c r="J10" s="43" t="s">
        <v>19</v>
      </c>
      <c r="K10" s="44"/>
    </row>
    <row r="11" spans="1:11" ht="18" customHeight="1" x14ac:dyDescent="0.2">
      <c r="A11" s="3" t="s">
        <v>21</v>
      </c>
      <c r="B11" s="30">
        <v>45840</v>
      </c>
      <c r="C11" s="34">
        <v>0.5625</v>
      </c>
      <c r="D11" s="4">
        <v>97543</v>
      </c>
      <c r="E11" s="39">
        <v>0.70833333333333337</v>
      </c>
      <c r="F11" s="45">
        <v>97558</v>
      </c>
      <c r="G11" s="41">
        <f t="shared" si="0"/>
        <v>15</v>
      </c>
      <c r="H11" s="3"/>
      <c r="I11" s="42"/>
      <c r="J11" s="43" t="s">
        <v>19</v>
      </c>
      <c r="K11" s="44"/>
    </row>
    <row r="12" spans="1:11" ht="18" customHeight="1" x14ac:dyDescent="0.2">
      <c r="A12" s="3" t="s">
        <v>22</v>
      </c>
      <c r="B12" s="30">
        <v>45841</v>
      </c>
      <c r="C12" s="34">
        <v>0.35416666666666669</v>
      </c>
      <c r="D12" s="4">
        <v>97558</v>
      </c>
      <c r="E12" s="39">
        <v>0.47916666666666669</v>
      </c>
      <c r="F12" s="45">
        <v>97568</v>
      </c>
      <c r="G12" s="41">
        <f t="shared" si="0"/>
        <v>10</v>
      </c>
      <c r="H12" s="3"/>
      <c r="I12" s="42"/>
      <c r="J12" s="43" t="s">
        <v>19</v>
      </c>
      <c r="K12" s="44"/>
    </row>
    <row r="13" spans="1:11" ht="18" customHeight="1" x14ac:dyDescent="0.2">
      <c r="A13" s="3" t="s">
        <v>23</v>
      </c>
      <c r="B13" s="30">
        <v>45845</v>
      </c>
      <c r="C13" s="34">
        <v>0.35416666666666669</v>
      </c>
      <c r="D13" s="4">
        <v>97568</v>
      </c>
      <c r="E13" s="39">
        <v>0.41666666666666669</v>
      </c>
      <c r="F13" s="45">
        <v>97588</v>
      </c>
      <c r="G13" s="41">
        <f t="shared" si="0"/>
        <v>20</v>
      </c>
      <c r="H13" s="3"/>
      <c r="I13" s="42"/>
      <c r="J13" s="43" t="s">
        <v>24</v>
      </c>
      <c r="K13" s="44"/>
    </row>
    <row r="14" spans="1:11" ht="18" customHeight="1" x14ac:dyDescent="0.2">
      <c r="A14" s="3" t="s">
        <v>25</v>
      </c>
      <c r="B14" s="30">
        <v>45845</v>
      </c>
      <c r="C14" s="34">
        <v>0.5625</v>
      </c>
      <c r="D14" s="4">
        <v>97588</v>
      </c>
      <c r="E14" s="39">
        <v>0.66666666666666663</v>
      </c>
      <c r="F14" s="45">
        <v>97595</v>
      </c>
      <c r="G14" s="41">
        <f t="shared" si="0"/>
        <v>7</v>
      </c>
      <c r="H14" s="3"/>
      <c r="I14" s="42"/>
      <c r="J14" s="43" t="s">
        <v>26</v>
      </c>
      <c r="K14" s="44"/>
    </row>
    <row r="15" spans="1:11" ht="18" customHeight="1" x14ac:dyDescent="0.2">
      <c r="A15" s="6" t="s">
        <v>38</v>
      </c>
      <c r="B15" s="31">
        <v>45847</v>
      </c>
      <c r="C15" s="33">
        <v>0.35416666666666669</v>
      </c>
      <c r="D15" s="5">
        <v>97595</v>
      </c>
      <c r="E15" s="46">
        <v>0.47916666666666669</v>
      </c>
      <c r="F15" s="40">
        <v>97612</v>
      </c>
      <c r="G15" s="41">
        <f t="shared" si="0"/>
        <v>17</v>
      </c>
      <c r="H15" s="6" t="s">
        <v>33</v>
      </c>
      <c r="I15" s="47">
        <v>130</v>
      </c>
      <c r="J15" s="43" t="s">
        <v>19</v>
      </c>
      <c r="K15" s="44"/>
    </row>
    <row r="16" spans="1:11" ht="18" customHeight="1" x14ac:dyDescent="0.2">
      <c r="A16" s="3" t="s">
        <v>27</v>
      </c>
      <c r="B16" s="30">
        <v>45848</v>
      </c>
      <c r="C16" s="34">
        <v>0.35416666666666669</v>
      </c>
      <c r="D16" s="4">
        <v>97612</v>
      </c>
      <c r="E16" s="39">
        <v>0.47916666666666669</v>
      </c>
      <c r="F16" s="45">
        <v>97630</v>
      </c>
      <c r="G16" s="41">
        <f t="shared" si="0"/>
        <v>18</v>
      </c>
      <c r="H16" s="3"/>
      <c r="I16" s="42"/>
      <c r="J16" s="43" t="s">
        <v>19</v>
      </c>
      <c r="K16" s="44"/>
    </row>
    <row r="17" spans="1:11" ht="18" customHeight="1" x14ac:dyDescent="0.2">
      <c r="A17" s="3" t="s">
        <v>27</v>
      </c>
      <c r="B17" s="30">
        <v>45849</v>
      </c>
      <c r="C17" s="34">
        <v>0.35416666666666669</v>
      </c>
      <c r="D17" s="4">
        <v>97630</v>
      </c>
      <c r="E17" s="39">
        <v>0.47916666666666669</v>
      </c>
      <c r="F17" s="45">
        <v>97649</v>
      </c>
      <c r="G17" s="41">
        <f t="shared" si="0"/>
        <v>19</v>
      </c>
      <c r="H17" s="3"/>
      <c r="I17" s="42"/>
      <c r="J17" s="43" t="s">
        <v>19</v>
      </c>
      <c r="K17" s="44"/>
    </row>
    <row r="18" spans="1:11" ht="18" customHeight="1" x14ac:dyDescent="0.2">
      <c r="A18" s="6" t="s">
        <v>28</v>
      </c>
      <c r="B18" s="31">
        <v>45852</v>
      </c>
      <c r="C18" s="33">
        <v>0.35416666666666669</v>
      </c>
      <c r="D18" s="5">
        <v>97649</v>
      </c>
      <c r="E18" s="46">
        <v>0.47916666666666669</v>
      </c>
      <c r="F18" s="40">
        <v>97664</v>
      </c>
      <c r="G18" s="41">
        <f t="shared" si="0"/>
        <v>15</v>
      </c>
      <c r="H18" s="6"/>
      <c r="I18" s="47"/>
      <c r="J18" s="43" t="s">
        <v>19</v>
      </c>
      <c r="K18" s="44"/>
    </row>
    <row r="19" spans="1:11" ht="18" customHeight="1" x14ac:dyDescent="0.2">
      <c r="A19" s="3" t="s">
        <v>29</v>
      </c>
      <c r="B19" s="30">
        <v>45853</v>
      </c>
      <c r="C19" s="34">
        <v>0.35416666666666669</v>
      </c>
      <c r="D19" s="4">
        <v>97664</v>
      </c>
      <c r="E19" s="39">
        <v>0.47916666666666669</v>
      </c>
      <c r="F19" s="45">
        <v>97673</v>
      </c>
      <c r="G19" s="41">
        <f t="shared" si="0"/>
        <v>9</v>
      </c>
      <c r="H19" s="3"/>
      <c r="I19" s="42"/>
      <c r="J19" s="43" t="s">
        <v>19</v>
      </c>
      <c r="K19" s="44"/>
    </row>
    <row r="20" spans="1:11" ht="18" customHeight="1" x14ac:dyDescent="0.2">
      <c r="A20" s="3" t="s">
        <v>30</v>
      </c>
      <c r="B20" s="30">
        <v>45853</v>
      </c>
      <c r="C20" s="34">
        <v>0.54166666666666663</v>
      </c>
      <c r="D20" s="4">
        <v>97673</v>
      </c>
      <c r="E20" s="39">
        <v>0.70833333333333337</v>
      </c>
      <c r="F20" s="45">
        <v>97687</v>
      </c>
      <c r="G20" s="41">
        <f t="shared" si="0"/>
        <v>14</v>
      </c>
      <c r="H20" s="3"/>
      <c r="I20" s="42"/>
      <c r="J20" s="43" t="s">
        <v>24</v>
      </c>
      <c r="K20" s="44"/>
    </row>
    <row r="21" spans="1:11" ht="18" customHeight="1" x14ac:dyDescent="0.2">
      <c r="A21" s="3" t="s">
        <v>31</v>
      </c>
      <c r="B21" s="30">
        <v>45854</v>
      </c>
      <c r="C21" s="34">
        <v>0.33333333333333331</v>
      </c>
      <c r="D21" s="4">
        <v>97687</v>
      </c>
      <c r="E21" s="39">
        <v>0.47916666666666669</v>
      </c>
      <c r="F21" s="45">
        <v>97710</v>
      </c>
      <c r="G21" s="41">
        <f t="shared" si="0"/>
        <v>23</v>
      </c>
      <c r="H21" s="3"/>
      <c r="I21" s="42"/>
      <c r="J21" s="43" t="s">
        <v>19</v>
      </c>
      <c r="K21" s="44"/>
    </row>
    <row r="22" spans="1:11" ht="18" customHeight="1" x14ac:dyDescent="0.2">
      <c r="A22" s="3" t="s">
        <v>32</v>
      </c>
      <c r="B22" s="30">
        <v>45856</v>
      </c>
      <c r="C22" s="34">
        <v>0.33333333333333331</v>
      </c>
      <c r="D22" s="4">
        <v>97710</v>
      </c>
      <c r="E22" s="39">
        <v>0.47916666666666669</v>
      </c>
      <c r="F22" s="45">
        <v>97730</v>
      </c>
      <c r="G22" s="41">
        <f t="shared" si="0"/>
        <v>20</v>
      </c>
      <c r="H22" s="3"/>
      <c r="I22" s="42"/>
      <c r="J22" s="43" t="s">
        <v>19</v>
      </c>
      <c r="K22" s="44"/>
    </row>
    <row r="23" spans="1:11" ht="18" customHeight="1" x14ac:dyDescent="0.2">
      <c r="A23" s="6" t="s">
        <v>34</v>
      </c>
      <c r="B23" s="31">
        <v>45859</v>
      </c>
      <c r="C23" s="33">
        <v>0.35416666666666669</v>
      </c>
      <c r="D23" s="5">
        <v>97730</v>
      </c>
      <c r="E23" s="49">
        <v>0.47916666666666669</v>
      </c>
      <c r="F23" s="3">
        <v>97746</v>
      </c>
      <c r="G23" s="41">
        <f t="shared" si="0"/>
        <v>16</v>
      </c>
      <c r="H23" s="7"/>
      <c r="I23" s="48"/>
      <c r="J23" s="43" t="s">
        <v>19</v>
      </c>
      <c r="K23" s="44"/>
    </row>
    <row r="24" spans="1:11" ht="18" customHeight="1" x14ac:dyDescent="0.2">
      <c r="A24" s="3" t="s">
        <v>18</v>
      </c>
      <c r="B24" s="30">
        <v>45860</v>
      </c>
      <c r="C24" s="33" t="s">
        <v>35</v>
      </c>
      <c r="D24" s="5">
        <v>97746</v>
      </c>
      <c r="E24" s="39">
        <v>0.63888888888888895</v>
      </c>
      <c r="F24" s="40">
        <v>97759</v>
      </c>
      <c r="G24" s="41">
        <f>F24-D24</f>
        <v>13</v>
      </c>
      <c r="H24" s="3"/>
      <c r="I24" s="42"/>
      <c r="J24" s="43" t="s">
        <v>19</v>
      </c>
      <c r="K24" s="44"/>
    </row>
    <row r="25" spans="1:11" ht="18" customHeight="1" x14ac:dyDescent="0.2">
      <c r="A25" s="3" t="s">
        <v>36</v>
      </c>
      <c r="B25" s="30">
        <v>45861</v>
      </c>
      <c r="C25" s="34">
        <v>0.58333333333333337</v>
      </c>
      <c r="D25" s="4">
        <v>97759</v>
      </c>
      <c r="E25" s="39">
        <v>0.6875</v>
      </c>
      <c r="F25" s="45">
        <v>97770</v>
      </c>
      <c r="G25" s="41">
        <f t="shared" ref="G25:G33" si="1">F25-D25</f>
        <v>11</v>
      </c>
      <c r="H25" s="3"/>
      <c r="I25" s="42"/>
      <c r="J25" s="43" t="s">
        <v>19</v>
      </c>
      <c r="K25" s="44"/>
    </row>
    <row r="26" spans="1:11" ht="18" customHeight="1" x14ac:dyDescent="0.2">
      <c r="A26" s="3" t="s">
        <v>39</v>
      </c>
      <c r="B26" s="30">
        <v>45863</v>
      </c>
      <c r="C26" s="34">
        <v>0.34722222222222227</v>
      </c>
      <c r="D26" s="4">
        <v>97770</v>
      </c>
      <c r="E26" s="39">
        <v>0.36805555555555558</v>
      </c>
      <c r="F26" s="45">
        <v>97779</v>
      </c>
      <c r="G26" s="41">
        <f t="shared" si="1"/>
        <v>9</v>
      </c>
      <c r="H26" s="3"/>
      <c r="I26" s="42"/>
      <c r="J26" s="43" t="s">
        <v>26</v>
      </c>
      <c r="K26" s="44"/>
    </row>
    <row r="27" spans="1:11" ht="18" customHeight="1" x14ac:dyDescent="0.2">
      <c r="A27" s="3" t="s">
        <v>37</v>
      </c>
      <c r="B27" s="30">
        <v>45863</v>
      </c>
      <c r="C27" s="34">
        <v>0.35416666666666669</v>
      </c>
      <c r="D27" s="4">
        <v>97779</v>
      </c>
      <c r="E27" s="39">
        <v>0.4861111111111111</v>
      </c>
      <c r="F27" s="45">
        <v>97791</v>
      </c>
      <c r="G27" s="41">
        <f t="shared" si="1"/>
        <v>12</v>
      </c>
      <c r="H27" s="3" t="s">
        <v>33</v>
      </c>
      <c r="I27" s="42">
        <v>130</v>
      </c>
      <c r="J27" s="43" t="s">
        <v>19</v>
      </c>
      <c r="K27" s="44"/>
    </row>
    <row r="28" spans="1:11" ht="18" customHeight="1" x14ac:dyDescent="0.2">
      <c r="A28" s="3" t="s">
        <v>40</v>
      </c>
      <c r="B28" s="30">
        <v>45863</v>
      </c>
      <c r="C28" s="34">
        <v>0.58333333333333337</v>
      </c>
      <c r="D28" s="4">
        <v>97791</v>
      </c>
      <c r="E28" s="39">
        <v>0.72569444444444453</v>
      </c>
      <c r="F28" s="45">
        <v>97800</v>
      </c>
      <c r="G28" s="41">
        <f t="shared" si="1"/>
        <v>9</v>
      </c>
      <c r="H28" s="3"/>
      <c r="I28" s="42"/>
      <c r="J28" s="43" t="s">
        <v>19</v>
      </c>
      <c r="K28" s="44"/>
    </row>
    <row r="29" spans="1:11" ht="18" customHeight="1" x14ac:dyDescent="0.2">
      <c r="A29" s="3" t="s">
        <v>41</v>
      </c>
      <c r="B29" s="30">
        <v>45867</v>
      </c>
      <c r="C29" s="34">
        <v>0.35416666666666669</v>
      </c>
      <c r="D29" s="4">
        <v>97800</v>
      </c>
      <c r="E29" s="39">
        <v>0.75</v>
      </c>
      <c r="F29" s="45">
        <v>97825</v>
      </c>
      <c r="G29" s="41">
        <f t="shared" si="1"/>
        <v>25</v>
      </c>
      <c r="H29" s="3"/>
      <c r="I29" s="42"/>
      <c r="J29" s="43" t="s">
        <v>19</v>
      </c>
      <c r="K29" s="44"/>
    </row>
    <row r="30" spans="1:11" ht="18" customHeight="1" x14ac:dyDescent="0.2">
      <c r="A30" s="6" t="s">
        <v>42</v>
      </c>
      <c r="B30" s="31">
        <v>45869</v>
      </c>
      <c r="C30" s="33">
        <v>0.38541666666666669</v>
      </c>
      <c r="D30" s="5">
        <v>97825</v>
      </c>
      <c r="E30" s="46">
        <v>0.52777777777777779</v>
      </c>
      <c r="F30" s="40">
        <v>97849</v>
      </c>
      <c r="G30" s="41">
        <f t="shared" si="1"/>
        <v>24</v>
      </c>
      <c r="H30" s="6"/>
      <c r="I30" s="47"/>
      <c r="J30" s="43" t="s">
        <v>24</v>
      </c>
      <c r="K30" s="44"/>
    </row>
    <row r="31" spans="1:11" ht="18" customHeight="1" x14ac:dyDescent="0.2">
      <c r="A31" s="3" t="s">
        <v>43</v>
      </c>
      <c r="B31" s="30">
        <v>45869</v>
      </c>
      <c r="C31" s="34">
        <v>0.58333333333333337</v>
      </c>
      <c r="D31" s="4">
        <v>97849</v>
      </c>
      <c r="E31" s="39">
        <v>0.72916666666666663</v>
      </c>
      <c r="F31" s="45">
        <v>97858</v>
      </c>
      <c r="G31" s="41">
        <f t="shared" si="1"/>
        <v>9</v>
      </c>
      <c r="H31" s="3"/>
      <c r="I31" s="42"/>
      <c r="J31" s="43" t="s">
        <v>24</v>
      </c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6"/>
      <c r="B33" s="31"/>
      <c r="C33" s="33"/>
      <c r="D33" s="5"/>
      <c r="E33" s="49"/>
      <c r="F33" s="3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335</v>
      </c>
      <c r="H35" s="15" t="s">
        <v>10</v>
      </c>
      <c r="I35" s="58">
        <f>SUM(I9:I33)</f>
        <v>260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wJHW654h3OCJav+zEBXH6kQniQoO7lneIU0zfFEil68MdpDpwizwn7cvqq0P5E+4jipreb/Wy4OA/d8Fp3SFcw==" saltValue="lISk1kWyW+bpmJ5fJRmLSA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topLeftCell="A14" workbookViewId="0">
      <selection activeCell="A31" sqref="A31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 t="s">
        <v>44</v>
      </c>
      <c r="B9" s="30">
        <v>45870</v>
      </c>
      <c r="C9" s="33">
        <v>0.36805555555555558</v>
      </c>
      <c r="D9" s="5">
        <v>97858</v>
      </c>
      <c r="E9" s="39">
        <v>0.5</v>
      </c>
      <c r="F9" s="40">
        <v>97869</v>
      </c>
      <c r="G9" s="41">
        <f>F9-D9</f>
        <v>11</v>
      </c>
      <c r="H9" s="3"/>
      <c r="I9" s="42"/>
      <c r="J9" s="43" t="s">
        <v>19</v>
      </c>
      <c r="K9" s="44"/>
    </row>
    <row r="10" spans="1:11" ht="18" customHeight="1" x14ac:dyDescent="0.2">
      <c r="A10" s="3" t="s">
        <v>45</v>
      </c>
      <c r="B10" s="30">
        <v>45870</v>
      </c>
      <c r="C10" s="34">
        <v>0.54166666666666663</v>
      </c>
      <c r="D10" s="40">
        <v>97869</v>
      </c>
      <c r="E10" s="39">
        <v>0.58333333333333337</v>
      </c>
      <c r="F10" s="45">
        <v>97877</v>
      </c>
      <c r="G10" s="41">
        <f t="shared" ref="G10:G23" si="0">F10-D10</f>
        <v>8</v>
      </c>
      <c r="H10" s="3"/>
      <c r="I10" s="42"/>
      <c r="J10" s="43" t="s">
        <v>26</v>
      </c>
      <c r="K10" s="44"/>
    </row>
    <row r="11" spans="1:11" ht="18" customHeight="1" x14ac:dyDescent="0.2">
      <c r="A11" s="3" t="s">
        <v>45</v>
      </c>
      <c r="B11" s="30">
        <v>45874</v>
      </c>
      <c r="C11" s="34">
        <v>0.33333333333333331</v>
      </c>
      <c r="D11" s="4">
        <v>97877</v>
      </c>
      <c r="E11" s="39">
        <v>0.54166666666666663</v>
      </c>
      <c r="F11" s="45">
        <v>97884</v>
      </c>
      <c r="G11" s="41">
        <f t="shared" si="0"/>
        <v>7</v>
      </c>
      <c r="H11" s="3"/>
      <c r="I11" s="42"/>
      <c r="J11" s="43" t="s">
        <v>26</v>
      </c>
      <c r="K11" s="44"/>
    </row>
    <row r="12" spans="1:11" ht="18" customHeight="1" x14ac:dyDescent="0.2">
      <c r="A12" s="3" t="s">
        <v>46</v>
      </c>
      <c r="B12" s="30">
        <v>45874</v>
      </c>
      <c r="C12" s="34">
        <v>0.625</v>
      </c>
      <c r="D12" s="4">
        <v>97884</v>
      </c>
      <c r="E12" s="39">
        <v>0.75</v>
      </c>
      <c r="F12" s="45">
        <v>97895</v>
      </c>
      <c r="G12" s="41">
        <f t="shared" si="0"/>
        <v>11</v>
      </c>
      <c r="H12" s="3"/>
      <c r="I12" s="42"/>
      <c r="J12" s="43" t="s">
        <v>26</v>
      </c>
      <c r="K12" s="44"/>
    </row>
    <row r="13" spans="1:11" ht="18" customHeight="1" x14ac:dyDescent="0.2">
      <c r="A13" s="3" t="s">
        <v>46</v>
      </c>
      <c r="B13" s="30">
        <v>45875</v>
      </c>
      <c r="C13" s="34">
        <v>0.36805555555555558</v>
      </c>
      <c r="D13" s="4">
        <v>97895</v>
      </c>
      <c r="E13" s="39">
        <v>0.5</v>
      </c>
      <c r="F13" s="45">
        <v>97906</v>
      </c>
      <c r="G13" s="41">
        <f t="shared" si="0"/>
        <v>11</v>
      </c>
      <c r="H13" s="3"/>
      <c r="I13" s="42"/>
      <c r="J13" s="43" t="s">
        <v>19</v>
      </c>
      <c r="K13" s="44"/>
    </row>
    <row r="14" spans="1:11" ht="18" customHeight="1" x14ac:dyDescent="0.2">
      <c r="A14" s="3" t="s">
        <v>29</v>
      </c>
      <c r="B14" s="30">
        <v>45875</v>
      </c>
      <c r="C14" s="34">
        <v>0.64583333333333337</v>
      </c>
      <c r="D14" s="4">
        <v>97906</v>
      </c>
      <c r="E14" s="39">
        <v>0.77083333333333337</v>
      </c>
      <c r="F14" s="45">
        <v>97915</v>
      </c>
      <c r="G14" s="41">
        <f t="shared" si="0"/>
        <v>9</v>
      </c>
      <c r="H14" s="3"/>
      <c r="I14" s="42"/>
      <c r="J14" s="43" t="s">
        <v>19</v>
      </c>
      <c r="K14" s="44"/>
    </row>
    <row r="15" spans="1:11" ht="18" customHeight="1" x14ac:dyDescent="0.2">
      <c r="A15" s="6" t="s">
        <v>47</v>
      </c>
      <c r="B15" s="31">
        <v>45880</v>
      </c>
      <c r="C15" s="33">
        <v>0.375</v>
      </c>
      <c r="D15" s="5">
        <v>97915</v>
      </c>
      <c r="E15" s="46">
        <v>0.72916666666666663</v>
      </c>
      <c r="F15" s="40">
        <v>97960</v>
      </c>
      <c r="G15" s="41">
        <f t="shared" si="0"/>
        <v>45</v>
      </c>
      <c r="H15" s="6"/>
      <c r="I15" s="47"/>
      <c r="J15" s="43" t="s">
        <v>24</v>
      </c>
      <c r="K15" s="44"/>
    </row>
    <row r="16" spans="1:11" ht="18" customHeight="1" x14ac:dyDescent="0.2">
      <c r="A16" s="3" t="s">
        <v>42</v>
      </c>
      <c r="B16" s="30">
        <v>45881</v>
      </c>
      <c r="C16" s="34">
        <v>0.35416666666666669</v>
      </c>
      <c r="D16" s="4">
        <v>97960</v>
      </c>
      <c r="E16" s="39">
        <v>0.5</v>
      </c>
      <c r="F16" s="45">
        <v>97971</v>
      </c>
      <c r="G16" s="41">
        <f t="shared" si="0"/>
        <v>11</v>
      </c>
      <c r="H16" s="3" t="s">
        <v>48</v>
      </c>
      <c r="I16" s="42">
        <v>130</v>
      </c>
      <c r="J16" s="43" t="s">
        <v>24</v>
      </c>
      <c r="K16" s="44"/>
    </row>
    <row r="17" spans="1:11" ht="18" customHeight="1" x14ac:dyDescent="0.2">
      <c r="A17" s="3" t="s">
        <v>46</v>
      </c>
      <c r="B17" s="30">
        <v>45881</v>
      </c>
      <c r="C17" s="34">
        <v>0.54166666666666663</v>
      </c>
      <c r="D17" s="4">
        <v>97971</v>
      </c>
      <c r="E17" s="39">
        <v>0.72222222222222221</v>
      </c>
      <c r="F17" s="45">
        <v>97982</v>
      </c>
      <c r="G17" s="41">
        <f t="shared" si="0"/>
        <v>11</v>
      </c>
      <c r="H17" s="3"/>
      <c r="I17" s="42"/>
      <c r="J17" s="43" t="s">
        <v>19</v>
      </c>
      <c r="K17" s="44"/>
    </row>
    <row r="18" spans="1:11" ht="18" customHeight="1" x14ac:dyDescent="0.2">
      <c r="A18" s="6" t="s">
        <v>46</v>
      </c>
      <c r="B18" s="31">
        <v>45882</v>
      </c>
      <c r="C18" s="33">
        <v>0.3611111111111111</v>
      </c>
      <c r="D18" s="5">
        <v>97982</v>
      </c>
      <c r="E18" s="46">
        <v>0.5625</v>
      </c>
      <c r="F18" s="40">
        <v>97993</v>
      </c>
      <c r="G18" s="41">
        <f t="shared" si="0"/>
        <v>11</v>
      </c>
      <c r="H18" s="6"/>
      <c r="I18" s="47"/>
      <c r="J18" s="43" t="s">
        <v>19</v>
      </c>
      <c r="K18" s="44"/>
    </row>
    <row r="19" spans="1:11" ht="18" customHeight="1" x14ac:dyDescent="0.2">
      <c r="A19" s="3" t="s">
        <v>49</v>
      </c>
      <c r="B19" s="30">
        <v>45883</v>
      </c>
      <c r="C19" s="34">
        <v>0.3611111111111111</v>
      </c>
      <c r="D19" s="4">
        <v>97993</v>
      </c>
      <c r="E19" s="39">
        <v>0.72222222222222221</v>
      </c>
      <c r="F19" s="45">
        <v>98008</v>
      </c>
      <c r="G19" s="41">
        <f t="shared" si="0"/>
        <v>15</v>
      </c>
      <c r="H19" s="3"/>
      <c r="I19" s="42"/>
      <c r="J19" s="43" t="s">
        <v>19</v>
      </c>
      <c r="K19" s="44"/>
    </row>
    <row r="20" spans="1:11" ht="18" customHeight="1" x14ac:dyDescent="0.2">
      <c r="A20" s="3" t="s">
        <v>50</v>
      </c>
      <c r="B20" s="30">
        <v>45884</v>
      </c>
      <c r="C20" s="34">
        <v>0.375</v>
      </c>
      <c r="D20" s="4">
        <v>98008</v>
      </c>
      <c r="E20" s="39">
        <v>0.48958333333333331</v>
      </c>
      <c r="F20" s="45">
        <v>98028</v>
      </c>
      <c r="G20" s="41">
        <f t="shared" si="0"/>
        <v>20</v>
      </c>
      <c r="H20" s="3"/>
      <c r="I20" s="42"/>
      <c r="J20" s="43" t="s">
        <v>26</v>
      </c>
      <c r="K20" s="44"/>
    </row>
    <row r="21" spans="1:11" ht="18" customHeight="1" x14ac:dyDescent="0.2">
      <c r="A21" s="3" t="s">
        <v>51</v>
      </c>
      <c r="B21" s="30">
        <v>45884</v>
      </c>
      <c r="C21" s="34">
        <v>0.59722222222222221</v>
      </c>
      <c r="D21" s="4">
        <v>98028</v>
      </c>
      <c r="E21" s="39">
        <v>0.70833333333333337</v>
      </c>
      <c r="F21" s="45">
        <v>98042</v>
      </c>
      <c r="G21" s="41">
        <f t="shared" si="0"/>
        <v>14</v>
      </c>
      <c r="H21" s="3"/>
      <c r="I21" s="42"/>
      <c r="J21" s="43" t="s">
        <v>26</v>
      </c>
      <c r="K21" s="44"/>
    </row>
    <row r="22" spans="1:11" ht="18" customHeight="1" x14ac:dyDescent="0.2">
      <c r="A22" s="3" t="s">
        <v>29</v>
      </c>
      <c r="B22" s="30">
        <v>45887</v>
      </c>
      <c r="C22" s="34">
        <v>0.34375</v>
      </c>
      <c r="D22" s="4">
        <v>98042</v>
      </c>
      <c r="E22" s="39">
        <v>0.5</v>
      </c>
      <c r="F22" s="45">
        <v>98051</v>
      </c>
      <c r="G22" s="41">
        <f t="shared" si="0"/>
        <v>9</v>
      </c>
      <c r="H22" s="3"/>
      <c r="I22" s="42"/>
      <c r="J22" s="43" t="s">
        <v>19</v>
      </c>
      <c r="K22" s="44"/>
    </row>
    <row r="23" spans="1:11" ht="18" customHeight="1" x14ac:dyDescent="0.2">
      <c r="A23" s="6" t="s">
        <v>52</v>
      </c>
      <c r="B23" s="31">
        <v>45887</v>
      </c>
      <c r="C23" s="33">
        <v>0.58333333333333337</v>
      </c>
      <c r="D23" s="5">
        <v>98051</v>
      </c>
      <c r="E23" s="49">
        <v>0.6875</v>
      </c>
      <c r="F23" s="3">
        <v>98066</v>
      </c>
      <c r="G23" s="41">
        <f t="shared" si="0"/>
        <v>15</v>
      </c>
      <c r="H23" s="7"/>
      <c r="I23" s="48"/>
      <c r="J23" s="43" t="s">
        <v>26</v>
      </c>
      <c r="K23" s="44"/>
    </row>
    <row r="24" spans="1:11" ht="18" customHeight="1" x14ac:dyDescent="0.2">
      <c r="A24" s="3" t="s">
        <v>53</v>
      </c>
      <c r="B24" s="30">
        <v>45888</v>
      </c>
      <c r="C24" s="33">
        <v>0.39583333333333331</v>
      </c>
      <c r="D24" s="5">
        <v>98066</v>
      </c>
      <c r="E24" s="39">
        <v>0.56944444444444442</v>
      </c>
      <c r="F24" s="40">
        <v>98078</v>
      </c>
      <c r="G24" s="41">
        <f>F24-D24</f>
        <v>12</v>
      </c>
      <c r="H24" s="3"/>
      <c r="I24" s="42"/>
      <c r="J24" s="43" t="s">
        <v>26</v>
      </c>
      <c r="K24" s="44"/>
    </row>
    <row r="25" spans="1:11" ht="18" customHeight="1" x14ac:dyDescent="0.2">
      <c r="A25" s="3" t="s">
        <v>54</v>
      </c>
      <c r="B25" s="30">
        <v>45889</v>
      </c>
      <c r="C25" s="34">
        <v>0.625</v>
      </c>
      <c r="D25" s="4">
        <v>98078</v>
      </c>
      <c r="E25" s="39">
        <v>0.68055555555555547</v>
      </c>
      <c r="F25" s="45">
        <v>98093</v>
      </c>
      <c r="G25" s="41">
        <f t="shared" ref="G25:G33" si="1">F25-D25</f>
        <v>15</v>
      </c>
      <c r="H25" s="3"/>
      <c r="I25" s="42"/>
      <c r="J25" s="43" t="s">
        <v>19</v>
      </c>
      <c r="K25" s="44"/>
    </row>
    <row r="26" spans="1:11" ht="18" customHeight="1" x14ac:dyDescent="0.2">
      <c r="A26" s="3" t="s">
        <v>55</v>
      </c>
      <c r="B26" s="30">
        <v>45896</v>
      </c>
      <c r="C26" s="34">
        <v>0.3611111111111111</v>
      </c>
      <c r="D26" s="4">
        <v>98093</v>
      </c>
      <c r="E26" s="39">
        <v>0.70138888888888884</v>
      </c>
      <c r="F26" s="45">
        <v>98106</v>
      </c>
      <c r="G26" s="41">
        <f t="shared" si="1"/>
        <v>13</v>
      </c>
      <c r="H26" s="3"/>
      <c r="I26" s="42"/>
      <c r="J26" s="43" t="s">
        <v>19</v>
      </c>
      <c r="K26" s="44"/>
    </row>
    <row r="27" spans="1:11" ht="18" customHeight="1" x14ac:dyDescent="0.2">
      <c r="A27" s="3" t="s">
        <v>56</v>
      </c>
      <c r="B27" s="30">
        <v>45897</v>
      </c>
      <c r="C27" s="34">
        <v>0.375</v>
      </c>
      <c r="D27" s="4">
        <v>98103</v>
      </c>
      <c r="E27" s="39">
        <v>0.45833333333333331</v>
      </c>
      <c r="F27" s="45">
        <v>98108</v>
      </c>
      <c r="G27" s="41">
        <f t="shared" si="1"/>
        <v>5</v>
      </c>
      <c r="H27" s="3"/>
      <c r="I27" s="42"/>
      <c r="J27" s="43" t="s">
        <v>19</v>
      </c>
      <c r="K27" s="44"/>
    </row>
    <row r="28" spans="1:11" ht="18" customHeight="1" x14ac:dyDescent="0.2">
      <c r="A28" s="3" t="s">
        <v>57</v>
      </c>
      <c r="B28" s="30">
        <v>45897</v>
      </c>
      <c r="C28" s="34">
        <v>0.54166666666666663</v>
      </c>
      <c r="D28" s="4">
        <v>98108</v>
      </c>
      <c r="E28" s="39">
        <v>0.72222222222222221</v>
      </c>
      <c r="F28" s="45">
        <v>98117</v>
      </c>
      <c r="G28" s="41">
        <f t="shared" si="1"/>
        <v>9</v>
      </c>
      <c r="H28" s="3"/>
      <c r="I28" s="42"/>
      <c r="J28" s="43" t="s">
        <v>19</v>
      </c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6"/>
      <c r="B33" s="31"/>
      <c r="C33" s="33"/>
      <c r="D33" s="5"/>
      <c r="E33" s="49"/>
      <c r="F33" s="3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262</v>
      </c>
      <c r="H35" s="15" t="s">
        <v>10</v>
      </c>
      <c r="I35" s="58">
        <f>SUM(I9:I33)</f>
        <v>130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cHI5Xeone3dZdxj21bXmDIdjLx3cJnZUNLIezrje60Mq7/IwN+sDpZgW8zcY2YCa2J7ykn8DjYbRSsjFs2qg/Q==" saltValue="gSyJCpU5ee8//APltoL88Q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topLeftCell="A7" workbookViewId="0">
      <selection activeCell="F22" sqref="F22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 t="s">
        <v>56</v>
      </c>
      <c r="B9" s="30">
        <v>45901</v>
      </c>
      <c r="C9" s="33">
        <v>0.375</v>
      </c>
      <c r="D9" s="5">
        <v>98117</v>
      </c>
      <c r="E9" s="39">
        <v>0.4375</v>
      </c>
      <c r="F9" s="40">
        <v>98120</v>
      </c>
      <c r="G9" s="41">
        <f>F9-D9</f>
        <v>3</v>
      </c>
      <c r="H9" s="3"/>
      <c r="I9" s="42"/>
      <c r="J9" s="43" t="s">
        <v>19</v>
      </c>
      <c r="K9" s="44"/>
    </row>
    <row r="10" spans="1:11" ht="18" customHeight="1" x14ac:dyDescent="0.2">
      <c r="A10" s="3" t="s">
        <v>58</v>
      </c>
      <c r="B10" s="30">
        <v>45902</v>
      </c>
      <c r="C10" s="34">
        <v>0.3611111111111111</v>
      </c>
      <c r="D10" s="4">
        <v>98120</v>
      </c>
      <c r="E10" s="39">
        <v>0.53472222222222221</v>
      </c>
      <c r="F10" s="45">
        <v>98136</v>
      </c>
      <c r="G10" s="41">
        <f t="shared" ref="G10:G23" si="0">F10-D10</f>
        <v>16</v>
      </c>
      <c r="H10" s="3"/>
      <c r="I10" s="42"/>
      <c r="J10" s="43" t="s">
        <v>19</v>
      </c>
      <c r="K10" s="44"/>
    </row>
    <row r="11" spans="1:11" ht="18" customHeight="1" x14ac:dyDescent="0.2">
      <c r="A11" s="3" t="s">
        <v>56</v>
      </c>
      <c r="B11" s="30">
        <v>45902</v>
      </c>
      <c r="C11" s="34">
        <v>0.58333333333333337</v>
      </c>
      <c r="D11" s="4">
        <v>98136</v>
      </c>
      <c r="E11" s="39">
        <v>0.625</v>
      </c>
      <c r="F11" s="45">
        <v>98139</v>
      </c>
      <c r="G11" s="41">
        <f t="shared" si="0"/>
        <v>3</v>
      </c>
      <c r="H11" s="3"/>
      <c r="I11" s="42"/>
      <c r="J11" s="43" t="s">
        <v>26</v>
      </c>
      <c r="K11" s="44"/>
    </row>
    <row r="12" spans="1:11" ht="18" customHeight="1" x14ac:dyDescent="0.2">
      <c r="A12" s="3" t="s">
        <v>58</v>
      </c>
      <c r="B12" s="30">
        <v>45905</v>
      </c>
      <c r="C12" s="34">
        <v>0.36805555555555558</v>
      </c>
      <c r="D12" s="4">
        <v>98136</v>
      </c>
      <c r="E12" s="39">
        <v>0.54166666666666663</v>
      </c>
      <c r="F12" s="45">
        <v>98151</v>
      </c>
      <c r="G12" s="41">
        <f t="shared" si="0"/>
        <v>15</v>
      </c>
      <c r="H12" s="3"/>
      <c r="I12" s="42"/>
      <c r="J12" s="43" t="s">
        <v>19</v>
      </c>
      <c r="K12" s="44"/>
    </row>
    <row r="13" spans="1:11" ht="18" customHeight="1" x14ac:dyDescent="0.2">
      <c r="A13" s="3" t="s">
        <v>59</v>
      </c>
      <c r="B13" s="30">
        <v>45915</v>
      </c>
      <c r="C13" s="34">
        <v>0.5625</v>
      </c>
      <c r="D13" s="4">
        <v>98151</v>
      </c>
      <c r="E13" s="39">
        <v>0.70138888888888884</v>
      </c>
      <c r="F13" s="45">
        <v>98172</v>
      </c>
      <c r="G13" s="41">
        <f t="shared" si="0"/>
        <v>21</v>
      </c>
      <c r="H13" s="3"/>
      <c r="I13" s="42"/>
      <c r="J13" s="43" t="s">
        <v>19</v>
      </c>
      <c r="K13" s="44"/>
    </row>
    <row r="14" spans="1:11" ht="18" customHeight="1" x14ac:dyDescent="0.2">
      <c r="A14" s="3" t="s">
        <v>57</v>
      </c>
      <c r="B14" s="30">
        <v>45917</v>
      </c>
      <c r="C14" s="34">
        <v>0.375</v>
      </c>
      <c r="D14" s="4">
        <v>98172</v>
      </c>
      <c r="E14" s="39">
        <v>0.47916666666666669</v>
      </c>
      <c r="F14" s="45">
        <v>98185</v>
      </c>
      <c r="G14" s="41">
        <f t="shared" si="0"/>
        <v>13</v>
      </c>
      <c r="H14" s="3" t="s">
        <v>48</v>
      </c>
      <c r="I14" s="42">
        <v>130</v>
      </c>
      <c r="J14" s="43" t="s">
        <v>19</v>
      </c>
      <c r="K14" s="44"/>
    </row>
    <row r="15" spans="1:11" ht="18" customHeight="1" x14ac:dyDescent="0.2">
      <c r="A15" s="6" t="s">
        <v>60</v>
      </c>
      <c r="B15" s="31">
        <v>45917</v>
      </c>
      <c r="C15" s="33">
        <v>0.58333333333333337</v>
      </c>
      <c r="D15" s="5">
        <v>98185</v>
      </c>
      <c r="E15" s="46">
        <v>0.72222222222222221</v>
      </c>
      <c r="F15" s="40">
        <v>98195</v>
      </c>
      <c r="G15" s="41">
        <f t="shared" si="0"/>
        <v>10</v>
      </c>
      <c r="H15" s="6"/>
      <c r="I15" s="47"/>
      <c r="J15" s="43" t="s">
        <v>26</v>
      </c>
      <c r="K15" s="44"/>
    </row>
    <row r="16" spans="1:11" ht="18" customHeight="1" x14ac:dyDescent="0.2">
      <c r="A16" s="3" t="s">
        <v>61</v>
      </c>
      <c r="B16" s="30">
        <v>45918</v>
      </c>
      <c r="C16" s="34">
        <v>0.3611111111111111</v>
      </c>
      <c r="D16" s="4">
        <v>98195</v>
      </c>
      <c r="E16" s="39">
        <v>0.72222222222222221</v>
      </c>
      <c r="F16" s="45">
        <v>98220</v>
      </c>
      <c r="G16" s="41">
        <f t="shared" si="0"/>
        <v>25</v>
      </c>
      <c r="H16" s="3"/>
      <c r="I16" s="42"/>
      <c r="J16" s="43" t="s">
        <v>19</v>
      </c>
      <c r="K16" s="44"/>
    </row>
    <row r="17" spans="1:11" ht="18" customHeight="1" x14ac:dyDescent="0.2">
      <c r="A17" s="3" t="s">
        <v>60</v>
      </c>
      <c r="B17" s="30">
        <v>45919</v>
      </c>
      <c r="C17" s="34">
        <v>0.3611111111111111</v>
      </c>
      <c r="D17" s="4">
        <v>98220</v>
      </c>
      <c r="E17" s="39">
        <v>0.54166666666666663</v>
      </c>
      <c r="F17" s="45">
        <v>98232</v>
      </c>
      <c r="G17" s="41">
        <f t="shared" si="0"/>
        <v>12</v>
      </c>
      <c r="H17" s="3"/>
      <c r="I17" s="42"/>
      <c r="J17" s="43" t="s">
        <v>19</v>
      </c>
      <c r="K17" s="44"/>
    </row>
    <row r="18" spans="1:11" ht="18" customHeight="1" x14ac:dyDescent="0.2">
      <c r="A18" s="6" t="s">
        <v>62</v>
      </c>
      <c r="B18" s="31">
        <v>45923</v>
      </c>
      <c r="C18" s="33">
        <v>0.625</v>
      </c>
      <c r="D18" s="5">
        <v>98232</v>
      </c>
      <c r="E18" s="46">
        <v>0.64583333333333337</v>
      </c>
      <c r="F18" s="40">
        <v>98235</v>
      </c>
      <c r="G18" s="41">
        <f t="shared" si="0"/>
        <v>3</v>
      </c>
      <c r="H18" s="6"/>
      <c r="I18" s="47"/>
      <c r="J18" s="43" t="s">
        <v>26</v>
      </c>
      <c r="K18" s="44"/>
    </row>
    <row r="19" spans="1:11" ht="18" customHeight="1" x14ac:dyDescent="0.2">
      <c r="A19" s="3" t="s">
        <v>63</v>
      </c>
      <c r="B19" s="30">
        <v>45924</v>
      </c>
      <c r="C19" s="34">
        <v>0.64583333333333337</v>
      </c>
      <c r="D19" s="4">
        <v>98235</v>
      </c>
      <c r="E19" s="39">
        <v>0.65972222222222221</v>
      </c>
      <c r="F19" s="45">
        <v>98238</v>
      </c>
      <c r="G19" s="41">
        <f t="shared" si="0"/>
        <v>3</v>
      </c>
      <c r="H19" s="3"/>
      <c r="I19" s="42"/>
      <c r="J19" s="43" t="s">
        <v>24</v>
      </c>
      <c r="K19" s="44"/>
    </row>
    <row r="20" spans="1:11" ht="18" customHeight="1" x14ac:dyDescent="0.2">
      <c r="A20" s="3" t="s">
        <v>64</v>
      </c>
      <c r="B20" s="30">
        <v>45925</v>
      </c>
      <c r="C20" s="34">
        <v>0.375</v>
      </c>
      <c r="D20" s="4">
        <v>98238</v>
      </c>
      <c r="E20" s="39">
        <v>0.49583333333333335</v>
      </c>
      <c r="F20" s="45">
        <v>98251</v>
      </c>
      <c r="G20" s="41">
        <f t="shared" si="0"/>
        <v>13</v>
      </c>
      <c r="H20" s="3"/>
      <c r="I20" s="42"/>
      <c r="J20" s="43" t="s">
        <v>24</v>
      </c>
      <c r="K20" s="44"/>
    </row>
    <row r="21" spans="1:11" ht="18" customHeight="1" x14ac:dyDescent="0.2">
      <c r="A21" s="3" t="s">
        <v>65</v>
      </c>
      <c r="B21" s="30">
        <v>45925</v>
      </c>
      <c r="C21" s="34">
        <v>0.375</v>
      </c>
      <c r="D21" s="4">
        <v>98251</v>
      </c>
      <c r="E21" s="39">
        <v>0.41666666666666669</v>
      </c>
      <c r="F21" s="45">
        <v>98262</v>
      </c>
      <c r="G21" s="41">
        <f t="shared" si="0"/>
        <v>11</v>
      </c>
      <c r="H21" s="3"/>
      <c r="I21" s="42"/>
      <c r="J21" s="43" t="s">
        <v>19</v>
      </c>
      <c r="K21" s="44"/>
    </row>
    <row r="22" spans="1:11" ht="18" customHeight="1" x14ac:dyDescent="0.2">
      <c r="A22" s="3" t="s">
        <v>66</v>
      </c>
      <c r="B22" s="30">
        <v>45926</v>
      </c>
      <c r="C22" s="34">
        <v>0.63194444444444442</v>
      </c>
      <c r="D22" s="4">
        <v>98262</v>
      </c>
      <c r="E22" s="39">
        <v>0.69236111111111109</v>
      </c>
      <c r="F22" s="45">
        <v>98274</v>
      </c>
      <c r="G22" s="41">
        <f t="shared" si="0"/>
        <v>12</v>
      </c>
      <c r="H22" s="3"/>
      <c r="I22" s="42"/>
      <c r="J22" s="43" t="s">
        <v>26</v>
      </c>
      <c r="K22" s="44"/>
    </row>
    <row r="23" spans="1:11" ht="18" customHeight="1" x14ac:dyDescent="0.2">
      <c r="A23" s="7" t="s">
        <v>67</v>
      </c>
      <c r="B23" s="32">
        <v>45960</v>
      </c>
      <c r="C23" s="35">
        <v>0.3611111111111111</v>
      </c>
      <c r="D23" s="8">
        <v>98274</v>
      </c>
      <c r="E23" s="36">
        <v>0.52083333333333337</v>
      </c>
      <c r="F23" s="9">
        <v>98283</v>
      </c>
      <c r="G23" s="41">
        <f t="shared" si="0"/>
        <v>9</v>
      </c>
      <c r="H23" s="7"/>
      <c r="I23" s="48"/>
      <c r="J23" s="43" t="s">
        <v>19</v>
      </c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169</v>
      </c>
      <c r="H35" s="15" t="s">
        <v>10</v>
      </c>
      <c r="I35" s="58">
        <f>SUM(I9:I33)</f>
        <v>130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Wx5BkJajae6oWppHNQHEXkpOzh6Wlr2XChzezWSKGGxR4Vs1Sk2M8bScpPSkkIqhUF8ZUQaN+np1ZoNQFUQnog==" saltValue="UzAIFc//CswBYEIcjKtiTg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tabSelected="1" topLeftCell="A13" workbookViewId="0">
      <selection activeCell="F26" sqref="F26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 t="s">
        <v>68</v>
      </c>
      <c r="B9" s="30">
        <v>45932</v>
      </c>
      <c r="C9" s="39">
        <v>0.375</v>
      </c>
      <c r="D9" s="45">
        <v>98283</v>
      </c>
      <c r="E9" s="39">
        <v>0.70833333333333337</v>
      </c>
      <c r="F9" s="40">
        <v>98297</v>
      </c>
      <c r="G9" s="41">
        <f>F9-D9</f>
        <v>14</v>
      </c>
      <c r="H9" s="3"/>
      <c r="I9" s="42"/>
      <c r="J9" s="43" t="s">
        <v>69</v>
      </c>
      <c r="K9" s="44"/>
    </row>
    <row r="10" spans="1:11" ht="18" customHeight="1" x14ac:dyDescent="0.2">
      <c r="A10" s="3" t="s">
        <v>70</v>
      </c>
      <c r="B10" s="30">
        <v>45876</v>
      </c>
      <c r="C10" s="34">
        <v>0.375</v>
      </c>
      <c r="D10" s="4">
        <v>98297</v>
      </c>
      <c r="E10" s="39">
        <v>0.74305555555555547</v>
      </c>
      <c r="F10" s="45">
        <v>98311</v>
      </c>
      <c r="G10" s="41">
        <f t="shared" ref="G10:G23" si="0">F10-D10</f>
        <v>14</v>
      </c>
      <c r="H10" s="3"/>
      <c r="I10" s="42"/>
      <c r="J10" s="43" t="s">
        <v>19</v>
      </c>
      <c r="K10" s="44"/>
    </row>
    <row r="11" spans="1:11" ht="18" customHeight="1" x14ac:dyDescent="0.2">
      <c r="A11" s="3" t="s">
        <v>70</v>
      </c>
      <c r="B11" s="30">
        <v>45877</v>
      </c>
      <c r="C11" s="34">
        <v>0.35416666666666669</v>
      </c>
      <c r="D11" s="4">
        <v>98311</v>
      </c>
      <c r="E11" s="39">
        <v>0.75</v>
      </c>
      <c r="F11" s="45">
        <v>98325</v>
      </c>
      <c r="G11" s="41">
        <f t="shared" si="0"/>
        <v>14</v>
      </c>
      <c r="H11" s="3"/>
      <c r="I11" s="42"/>
      <c r="J11" s="43" t="s">
        <v>19</v>
      </c>
      <c r="K11" s="44"/>
    </row>
    <row r="12" spans="1:11" ht="18" customHeight="1" x14ac:dyDescent="0.2">
      <c r="A12" s="3" t="s">
        <v>71</v>
      </c>
      <c r="B12" s="30">
        <v>45939</v>
      </c>
      <c r="C12" s="34">
        <v>0.36458333333333331</v>
      </c>
      <c r="D12" s="4">
        <v>98325</v>
      </c>
      <c r="E12" s="39">
        <v>0.72916666666666663</v>
      </c>
      <c r="F12" s="45">
        <v>98338</v>
      </c>
      <c r="G12" s="41">
        <f t="shared" si="0"/>
        <v>13</v>
      </c>
      <c r="H12" s="3"/>
      <c r="I12" s="42"/>
      <c r="J12" s="43" t="s">
        <v>69</v>
      </c>
      <c r="K12" s="44"/>
    </row>
    <row r="13" spans="1:11" ht="18" customHeight="1" x14ac:dyDescent="0.2">
      <c r="A13" s="3" t="s">
        <v>56</v>
      </c>
      <c r="B13" s="30">
        <v>45940</v>
      </c>
      <c r="C13" s="34">
        <v>0.375</v>
      </c>
      <c r="D13" s="4">
        <v>98338</v>
      </c>
      <c r="E13" s="39">
        <v>0.47222222222222227</v>
      </c>
      <c r="F13" s="45">
        <v>98342</v>
      </c>
      <c r="G13" s="41">
        <f t="shared" si="0"/>
        <v>4</v>
      </c>
      <c r="H13" s="3"/>
      <c r="I13" s="42"/>
      <c r="J13" s="43" t="s">
        <v>19</v>
      </c>
      <c r="K13" s="44"/>
    </row>
    <row r="14" spans="1:11" ht="18" customHeight="1" x14ac:dyDescent="0.2">
      <c r="A14" s="3" t="s">
        <v>72</v>
      </c>
      <c r="B14" s="30">
        <v>45940</v>
      </c>
      <c r="C14" s="34">
        <v>0.625</v>
      </c>
      <c r="D14" s="4">
        <v>98342</v>
      </c>
      <c r="E14" s="39">
        <v>0.6875</v>
      </c>
      <c r="F14" s="45">
        <v>98358</v>
      </c>
      <c r="G14" s="41">
        <f t="shared" si="0"/>
        <v>16</v>
      </c>
      <c r="H14" s="3"/>
      <c r="I14" s="42"/>
      <c r="J14" s="43" t="s">
        <v>19</v>
      </c>
      <c r="K14" s="44"/>
    </row>
    <row r="15" spans="1:11" ht="18" customHeight="1" x14ac:dyDescent="0.2">
      <c r="A15" s="6" t="s">
        <v>73</v>
      </c>
      <c r="B15" s="31">
        <v>45943</v>
      </c>
      <c r="C15" s="33">
        <v>0.35416666666666669</v>
      </c>
      <c r="D15" s="5">
        <v>98358</v>
      </c>
      <c r="E15" s="46">
        <v>0.52083333333333337</v>
      </c>
      <c r="F15" s="40">
        <v>98369</v>
      </c>
      <c r="G15" s="41">
        <f t="shared" si="0"/>
        <v>11</v>
      </c>
      <c r="H15" s="6" t="s">
        <v>74</v>
      </c>
      <c r="I15" s="47">
        <v>150</v>
      </c>
      <c r="J15" s="43" t="s">
        <v>24</v>
      </c>
      <c r="K15" s="44"/>
    </row>
    <row r="16" spans="1:11" ht="18" customHeight="1" x14ac:dyDescent="0.2">
      <c r="A16" s="3" t="s">
        <v>75</v>
      </c>
      <c r="B16" s="30">
        <v>45943</v>
      </c>
      <c r="C16" s="34">
        <v>0.54166666666666663</v>
      </c>
      <c r="D16" s="4">
        <v>98369</v>
      </c>
      <c r="E16" s="39">
        <v>0.75</v>
      </c>
      <c r="F16" s="45">
        <v>98400</v>
      </c>
      <c r="G16" s="41">
        <f t="shared" si="0"/>
        <v>31</v>
      </c>
      <c r="H16" s="3"/>
      <c r="I16" s="42"/>
      <c r="J16" s="43" t="s">
        <v>19</v>
      </c>
      <c r="K16" s="44"/>
    </row>
    <row r="17" spans="1:11" ht="18" customHeight="1" x14ac:dyDescent="0.2">
      <c r="A17" s="3" t="s">
        <v>76</v>
      </c>
      <c r="B17" s="30">
        <v>45944</v>
      </c>
      <c r="C17" s="34">
        <v>0.33333333333333331</v>
      </c>
      <c r="D17" s="4">
        <v>98400</v>
      </c>
      <c r="E17" s="39">
        <v>0.72916666666666663</v>
      </c>
      <c r="F17" s="45">
        <v>98416</v>
      </c>
      <c r="G17" s="41">
        <f t="shared" si="0"/>
        <v>16</v>
      </c>
      <c r="H17" s="3"/>
      <c r="I17" s="42"/>
      <c r="J17" s="43" t="s">
        <v>19</v>
      </c>
      <c r="K17" s="44"/>
    </row>
    <row r="18" spans="1:11" ht="18" customHeight="1" x14ac:dyDescent="0.2">
      <c r="A18" s="6" t="s">
        <v>76</v>
      </c>
      <c r="B18" s="31">
        <v>45945</v>
      </c>
      <c r="C18" s="33">
        <v>0.33333333333333331</v>
      </c>
      <c r="D18" s="5">
        <v>98416</v>
      </c>
      <c r="E18" s="46">
        <v>0.72222222222222221</v>
      </c>
      <c r="F18" s="40">
        <v>98432</v>
      </c>
      <c r="G18" s="41">
        <f t="shared" si="0"/>
        <v>16</v>
      </c>
      <c r="H18" s="6"/>
      <c r="I18" s="47"/>
      <c r="J18" s="43" t="s">
        <v>19</v>
      </c>
      <c r="K18" s="44"/>
    </row>
    <row r="19" spans="1:11" ht="18" customHeight="1" x14ac:dyDescent="0.2">
      <c r="A19" s="3" t="s">
        <v>77</v>
      </c>
      <c r="B19" s="30">
        <v>45946</v>
      </c>
      <c r="C19" s="34">
        <v>0.35416666666666669</v>
      </c>
      <c r="D19" s="4">
        <v>98432</v>
      </c>
      <c r="E19" s="39">
        <v>0.72222222222222221</v>
      </c>
      <c r="F19" s="45">
        <v>98453</v>
      </c>
      <c r="G19" s="41">
        <f t="shared" si="0"/>
        <v>21</v>
      </c>
      <c r="H19" s="3"/>
      <c r="I19" s="42"/>
      <c r="J19" s="43" t="s">
        <v>19</v>
      </c>
      <c r="K19" s="44"/>
    </row>
    <row r="20" spans="1:11" ht="18" customHeight="1" x14ac:dyDescent="0.2">
      <c r="A20" s="3" t="s">
        <v>77</v>
      </c>
      <c r="B20" s="30">
        <v>45947</v>
      </c>
      <c r="C20" s="34">
        <v>0.35416666666666669</v>
      </c>
      <c r="D20" s="4">
        <v>98453</v>
      </c>
      <c r="E20" s="39">
        <v>0.72222222222222221</v>
      </c>
      <c r="F20" s="45">
        <v>98474</v>
      </c>
      <c r="G20" s="41">
        <f t="shared" si="0"/>
        <v>21</v>
      </c>
      <c r="H20" s="3"/>
      <c r="I20" s="42"/>
      <c r="J20" s="43" t="s">
        <v>19</v>
      </c>
      <c r="K20" s="44"/>
    </row>
    <row r="21" spans="1:11" ht="18" customHeight="1" x14ac:dyDescent="0.2">
      <c r="A21" s="3" t="s">
        <v>78</v>
      </c>
      <c r="B21" s="30">
        <v>45950</v>
      </c>
      <c r="C21" s="34">
        <v>0.375</v>
      </c>
      <c r="D21" s="4">
        <v>98474</v>
      </c>
      <c r="E21" s="39">
        <v>0.72916666666666663</v>
      </c>
      <c r="F21" s="45">
        <v>98485</v>
      </c>
      <c r="G21" s="41">
        <f t="shared" si="0"/>
        <v>11</v>
      </c>
      <c r="H21" s="3"/>
      <c r="I21" s="42"/>
      <c r="J21" s="43" t="s">
        <v>69</v>
      </c>
      <c r="K21" s="44"/>
    </row>
    <row r="22" spans="1:11" ht="18" customHeight="1" x14ac:dyDescent="0.2">
      <c r="A22" s="3" t="s">
        <v>79</v>
      </c>
      <c r="B22" s="30">
        <v>45951</v>
      </c>
      <c r="C22" s="34">
        <v>0.625</v>
      </c>
      <c r="D22" s="4">
        <v>98485</v>
      </c>
      <c r="E22" s="39">
        <v>0.70138888888888884</v>
      </c>
      <c r="F22" s="45">
        <v>98499</v>
      </c>
      <c r="G22" s="41">
        <f t="shared" si="0"/>
        <v>14</v>
      </c>
      <c r="H22" s="3"/>
      <c r="I22" s="42"/>
      <c r="J22" s="43" t="s">
        <v>19</v>
      </c>
      <c r="K22" s="44"/>
    </row>
    <row r="23" spans="1:11" ht="18" customHeight="1" x14ac:dyDescent="0.2">
      <c r="A23" s="7" t="s">
        <v>80</v>
      </c>
      <c r="B23" s="32">
        <v>45953</v>
      </c>
      <c r="C23" s="35">
        <v>0.54166666666666663</v>
      </c>
      <c r="D23" s="8">
        <v>98499</v>
      </c>
      <c r="E23" s="36">
        <v>0.60416666666666663</v>
      </c>
      <c r="F23" s="9">
        <v>98504</v>
      </c>
      <c r="G23" s="41">
        <f t="shared" si="0"/>
        <v>5</v>
      </c>
      <c r="H23" s="7"/>
      <c r="I23" s="48"/>
      <c r="J23" s="43" t="s">
        <v>19</v>
      </c>
      <c r="K23" s="44"/>
    </row>
    <row r="24" spans="1:11" ht="18" customHeight="1" x14ac:dyDescent="0.2">
      <c r="A24" s="3" t="s">
        <v>71</v>
      </c>
      <c r="B24" s="30">
        <v>45954</v>
      </c>
      <c r="C24" s="33">
        <v>98504.541666666672</v>
      </c>
      <c r="D24" s="5">
        <v>98515</v>
      </c>
      <c r="E24" s="39">
        <v>0.66666666666666663</v>
      </c>
      <c r="F24" s="40">
        <v>98515</v>
      </c>
      <c r="G24" s="41">
        <f>F24-D24</f>
        <v>0</v>
      </c>
      <c r="H24" s="3"/>
      <c r="I24" s="42"/>
      <c r="J24" s="43" t="s">
        <v>26</v>
      </c>
      <c r="K24" s="44"/>
    </row>
    <row r="25" spans="1:11" ht="18" customHeight="1" x14ac:dyDescent="0.2">
      <c r="A25" s="3" t="s">
        <v>81</v>
      </c>
      <c r="B25" s="30">
        <v>45957</v>
      </c>
      <c r="C25" s="34">
        <v>0.35416666666666669</v>
      </c>
      <c r="D25" s="4">
        <v>98515</v>
      </c>
      <c r="E25" s="39">
        <v>0.72916666666666663</v>
      </c>
      <c r="F25" s="45">
        <v>98539</v>
      </c>
      <c r="G25" s="41">
        <f t="shared" ref="G25:G33" si="1">F25-D25</f>
        <v>24</v>
      </c>
      <c r="H25" s="3"/>
      <c r="I25" s="42"/>
      <c r="J25" s="43" t="s">
        <v>19</v>
      </c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245</v>
      </c>
      <c r="H35" s="15" t="s">
        <v>10</v>
      </c>
      <c r="I35" s="58">
        <f>SUM(I9:I33)</f>
        <v>150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K8oQUDySxNdJZN8Av6pbRCeHmfBipQ4kUzpHn2s5wo1/ZmQv88toRMMem1q5lzmhSyKQMT0BHYMMuGGJ5malPw==" saltValue="zT5ZEw1fa4DKtM3jJA8y7w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workbookViewId="0">
      <selection activeCell="A9" sqref="A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cVDRHLSIiAieTkILU2KdYFvOYCeakSm8VbZS/GDPIU3esdlW9rxwREDTJWPwRNxHtgk1c6fd1QOgVVKVQ5OODg==" saltValue="v7VqkeAphkF5859aPBR/fg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3"/>
  <sheetViews>
    <sheetView showGridLines="0" workbookViewId="0">
      <selection activeCell="J9" sqref="J9:J19"/>
    </sheetView>
  </sheetViews>
  <sheetFormatPr defaultColWidth="9.140625" defaultRowHeight="11.25" x14ac:dyDescent="0.2"/>
  <cols>
    <col min="1" max="1" width="40.7109375" style="1" customWidth="1"/>
    <col min="2" max="8" width="11.7109375" style="1" customWidth="1"/>
    <col min="9" max="9" width="11.85546875" style="1" customWidth="1"/>
    <col min="10" max="10" width="10.85546875" style="1" customWidth="1"/>
    <col min="11" max="11" width="12.85546875" style="1" customWidth="1"/>
    <col min="12" max="16384" width="9.140625" style="1"/>
  </cols>
  <sheetData>
    <row r="1" spans="1:11" ht="7.5" customHeight="1" x14ac:dyDescent="0.2"/>
    <row r="2" spans="1:11" ht="18.75" customHeight="1" x14ac:dyDescent="0.2">
      <c r="A2" s="65"/>
      <c r="B2" s="19"/>
      <c r="C2" s="66"/>
      <c r="D2" s="66"/>
      <c r="E2" s="66"/>
      <c r="F2" s="66"/>
      <c r="G2" s="66"/>
      <c r="H2" s="66"/>
      <c r="J2" s="16"/>
      <c r="K2" s="16"/>
    </row>
    <row r="3" spans="1:11" ht="18.75" customHeight="1" x14ac:dyDescent="0.2">
      <c r="A3" s="65"/>
      <c r="B3" s="19"/>
      <c r="C3" s="66"/>
      <c r="D3" s="66"/>
      <c r="E3" s="66"/>
      <c r="F3" s="66"/>
      <c r="G3" s="66"/>
      <c r="H3" s="66"/>
      <c r="I3" s="2"/>
      <c r="J3" s="37" t="s">
        <v>13</v>
      </c>
      <c r="K3" s="38" t="s">
        <v>15</v>
      </c>
    </row>
    <row r="4" spans="1:11" ht="18.75" customHeight="1" x14ac:dyDescent="0.2">
      <c r="A4" s="65"/>
      <c r="B4" s="19"/>
      <c r="C4" s="14"/>
      <c r="D4" s="18"/>
      <c r="E4" s="14"/>
      <c r="F4" s="18"/>
      <c r="G4" s="67"/>
      <c r="H4" s="67"/>
      <c r="I4" s="2"/>
      <c r="J4" s="37" t="s">
        <v>14</v>
      </c>
      <c r="K4" s="38" t="s">
        <v>17</v>
      </c>
    </row>
    <row r="5" spans="1:11" ht="18.75" customHeight="1" x14ac:dyDescent="0.2">
      <c r="A5" s="65"/>
      <c r="B5" s="68" t="s">
        <v>11</v>
      </c>
      <c r="C5" s="68"/>
      <c r="D5" s="68"/>
      <c r="E5" s="68"/>
      <c r="F5" s="68"/>
      <c r="G5" s="68"/>
      <c r="H5" s="68"/>
      <c r="J5" s="16"/>
      <c r="K5" s="16"/>
    </row>
    <row r="6" spans="1:11" ht="7.5" customHeight="1" x14ac:dyDescent="0.2">
      <c r="B6" s="69"/>
      <c r="C6" s="69"/>
      <c r="D6" s="69"/>
      <c r="E6" s="69"/>
      <c r="F6" s="69"/>
      <c r="G6" s="69"/>
      <c r="H6" s="69"/>
    </row>
    <row r="7" spans="1:11" x14ac:dyDescent="0.2">
      <c r="A7" s="52" t="s">
        <v>7</v>
      </c>
      <c r="B7" s="54" t="s">
        <v>0</v>
      </c>
      <c r="C7" s="20" t="s">
        <v>1</v>
      </c>
      <c r="D7" s="21" t="s">
        <v>2</v>
      </c>
      <c r="E7" s="22" t="s">
        <v>1</v>
      </c>
      <c r="F7" s="21" t="s">
        <v>2</v>
      </c>
      <c r="G7" s="23" t="s">
        <v>2</v>
      </c>
      <c r="H7" s="56" t="s">
        <v>3</v>
      </c>
      <c r="I7" s="57"/>
      <c r="J7" s="61" t="s">
        <v>12</v>
      </c>
      <c r="K7" s="62"/>
    </row>
    <row r="8" spans="1:11" x14ac:dyDescent="0.2">
      <c r="A8" s="53"/>
      <c r="B8" s="55"/>
      <c r="C8" s="24" t="s">
        <v>4</v>
      </c>
      <c r="D8" s="25" t="s">
        <v>4</v>
      </c>
      <c r="E8" s="26" t="s">
        <v>8</v>
      </c>
      <c r="F8" s="27" t="s">
        <v>8</v>
      </c>
      <c r="G8" s="28" t="s">
        <v>5</v>
      </c>
      <c r="H8" s="29" t="s">
        <v>16</v>
      </c>
      <c r="I8" s="28" t="s">
        <v>9</v>
      </c>
      <c r="J8" s="63"/>
      <c r="K8" s="64"/>
    </row>
    <row r="9" spans="1:11" ht="18" customHeight="1" x14ac:dyDescent="0.2">
      <c r="A9" s="3"/>
      <c r="B9" s="30"/>
      <c r="C9" s="33"/>
      <c r="D9" s="5"/>
      <c r="E9" s="39"/>
      <c r="F9" s="40"/>
      <c r="G9" s="41">
        <f>F9-D9</f>
        <v>0</v>
      </c>
      <c r="H9" s="3"/>
      <c r="I9" s="42"/>
      <c r="J9" s="43"/>
      <c r="K9" s="44"/>
    </row>
    <row r="10" spans="1:11" ht="18" customHeight="1" x14ac:dyDescent="0.2">
      <c r="A10" s="3"/>
      <c r="B10" s="30"/>
      <c r="C10" s="34"/>
      <c r="D10" s="4"/>
      <c r="E10" s="39"/>
      <c r="F10" s="45"/>
      <c r="G10" s="41">
        <f t="shared" ref="G10:G23" si="0">F10-D10</f>
        <v>0</v>
      </c>
      <c r="H10" s="3"/>
      <c r="I10" s="42"/>
      <c r="J10" s="43"/>
      <c r="K10" s="44"/>
    </row>
    <row r="11" spans="1:11" ht="18" customHeight="1" x14ac:dyDescent="0.2">
      <c r="A11" s="3"/>
      <c r="B11" s="30"/>
      <c r="C11" s="34"/>
      <c r="D11" s="4"/>
      <c r="E11" s="39"/>
      <c r="F11" s="45"/>
      <c r="G11" s="41">
        <f t="shared" si="0"/>
        <v>0</v>
      </c>
      <c r="H11" s="3"/>
      <c r="I11" s="42"/>
      <c r="J11" s="43"/>
      <c r="K11" s="44"/>
    </row>
    <row r="12" spans="1:11" ht="18" customHeight="1" x14ac:dyDescent="0.2">
      <c r="A12" s="3"/>
      <c r="B12" s="30"/>
      <c r="C12" s="34"/>
      <c r="D12" s="4"/>
      <c r="E12" s="39"/>
      <c r="F12" s="45"/>
      <c r="G12" s="41">
        <f t="shared" si="0"/>
        <v>0</v>
      </c>
      <c r="H12" s="3"/>
      <c r="I12" s="42"/>
      <c r="J12" s="43"/>
      <c r="K12" s="44"/>
    </row>
    <row r="13" spans="1:11" ht="18" customHeight="1" x14ac:dyDescent="0.2">
      <c r="A13" s="3"/>
      <c r="B13" s="30"/>
      <c r="C13" s="34"/>
      <c r="D13" s="4"/>
      <c r="E13" s="39"/>
      <c r="F13" s="45"/>
      <c r="G13" s="41">
        <f t="shared" si="0"/>
        <v>0</v>
      </c>
      <c r="H13" s="3"/>
      <c r="I13" s="42"/>
      <c r="J13" s="43"/>
      <c r="K13" s="44"/>
    </row>
    <row r="14" spans="1:11" ht="18" customHeight="1" x14ac:dyDescent="0.2">
      <c r="A14" s="3"/>
      <c r="B14" s="30"/>
      <c r="C14" s="34"/>
      <c r="D14" s="4"/>
      <c r="E14" s="39"/>
      <c r="F14" s="45"/>
      <c r="G14" s="41">
        <f t="shared" si="0"/>
        <v>0</v>
      </c>
      <c r="H14" s="3"/>
      <c r="I14" s="42"/>
      <c r="J14" s="43"/>
      <c r="K14" s="44"/>
    </row>
    <row r="15" spans="1:11" ht="18" customHeight="1" x14ac:dyDescent="0.2">
      <c r="A15" s="6"/>
      <c r="B15" s="31"/>
      <c r="C15" s="33"/>
      <c r="D15" s="5"/>
      <c r="E15" s="46"/>
      <c r="F15" s="40"/>
      <c r="G15" s="41">
        <f t="shared" si="0"/>
        <v>0</v>
      </c>
      <c r="H15" s="6"/>
      <c r="I15" s="47"/>
      <c r="J15" s="43"/>
      <c r="K15" s="44"/>
    </row>
    <row r="16" spans="1:11" ht="18" customHeight="1" x14ac:dyDescent="0.2">
      <c r="A16" s="3"/>
      <c r="B16" s="30"/>
      <c r="C16" s="34"/>
      <c r="D16" s="4"/>
      <c r="E16" s="39"/>
      <c r="F16" s="45"/>
      <c r="G16" s="41">
        <f t="shared" si="0"/>
        <v>0</v>
      </c>
      <c r="H16" s="3"/>
      <c r="I16" s="42"/>
      <c r="J16" s="43"/>
      <c r="K16" s="44"/>
    </row>
    <row r="17" spans="1:11" ht="18" customHeight="1" x14ac:dyDescent="0.2">
      <c r="A17" s="3"/>
      <c r="B17" s="30"/>
      <c r="C17" s="34"/>
      <c r="D17" s="4"/>
      <c r="E17" s="39"/>
      <c r="F17" s="45"/>
      <c r="G17" s="41">
        <f t="shared" si="0"/>
        <v>0</v>
      </c>
      <c r="H17" s="3"/>
      <c r="I17" s="42"/>
      <c r="J17" s="43"/>
      <c r="K17" s="44"/>
    </row>
    <row r="18" spans="1:11" ht="18" customHeight="1" x14ac:dyDescent="0.2">
      <c r="A18" s="6"/>
      <c r="B18" s="31"/>
      <c r="C18" s="33"/>
      <c r="D18" s="5"/>
      <c r="E18" s="46"/>
      <c r="F18" s="40"/>
      <c r="G18" s="41">
        <f t="shared" si="0"/>
        <v>0</v>
      </c>
      <c r="H18" s="6"/>
      <c r="I18" s="47"/>
      <c r="J18" s="43"/>
      <c r="K18" s="44"/>
    </row>
    <row r="19" spans="1:11" ht="18" customHeight="1" x14ac:dyDescent="0.2">
      <c r="A19" s="3"/>
      <c r="B19" s="30"/>
      <c r="C19" s="34"/>
      <c r="D19" s="4"/>
      <c r="E19" s="39"/>
      <c r="F19" s="45"/>
      <c r="G19" s="41">
        <f t="shared" si="0"/>
        <v>0</v>
      </c>
      <c r="H19" s="3"/>
      <c r="I19" s="42"/>
      <c r="J19" s="43"/>
      <c r="K19" s="44"/>
    </row>
    <row r="20" spans="1:11" ht="18" customHeight="1" x14ac:dyDescent="0.2">
      <c r="A20" s="3"/>
      <c r="B20" s="30"/>
      <c r="C20" s="34"/>
      <c r="D20" s="4"/>
      <c r="E20" s="39"/>
      <c r="F20" s="45"/>
      <c r="G20" s="41">
        <f t="shared" si="0"/>
        <v>0</v>
      </c>
      <c r="H20" s="3"/>
      <c r="I20" s="42"/>
      <c r="J20" s="43"/>
      <c r="K20" s="44"/>
    </row>
    <row r="21" spans="1:11" ht="18" customHeight="1" x14ac:dyDescent="0.2">
      <c r="A21" s="3"/>
      <c r="B21" s="30"/>
      <c r="C21" s="34"/>
      <c r="D21" s="4"/>
      <c r="E21" s="39"/>
      <c r="F21" s="45"/>
      <c r="G21" s="41">
        <f t="shared" si="0"/>
        <v>0</v>
      </c>
      <c r="H21" s="3"/>
      <c r="I21" s="42"/>
      <c r="J21" s="43"/>
      <c r="K21" s="44"/>
    </row>
    <row r="22" spans="1:11" ht="18" customHeight="1" x14ac:dyDescent="0.2">
      <c r="A22" s="3"/>
      <c r="B22" s="30"/>
      <c r="C22" s="34"/>
      <c r="D22" s="4"/>
      <c r="E22" s="39"/>
      <c r="F22" s="45"/>
      <c r="G22" s="41">
        <f t="shared" si="0"/>
        <v>0</v>
      </c>
      <c r="H22" s="3"/>
      <c r="I22" s="42"/>
      <c r="J22" s="43"/>
      <c r="K22" s="44"/>
    </row>
    <row r="23" spans="1:11" ht="18" customHeight="1" x14ac:dyDescent="0.2">
      <c r="A23" s="7"/>
      <c r="B23" s="32"/>
      <c r="C23" s="35"/>
      <c r="D23" s="8"/>
      <c r="E23" s="36"/>
      <c r="F23" s="9"/>
      <c r="G23" s="41">
        <f t="shared" si="0"/>
        <v>0</v>
      </c>
      <c r="H23" s="7"/>
      <c r="I23" s="48"/>
      <c r="J23" s="43"/>
      <c r="K23" s="44"/>
    </row>
    <row r="24" spans="1:11" ht="18" customHeight="1" x14ac:dyDescent="0.2">
      <c r="A24" s="3"/>
      <c r="B24" s="30"/>
      <c r="C24" s="33"/>
      <c r="D24" s="5"/>
      <c r="E24" s="39"/>
      <c r="F24" s="40"/>
      <c r="G24" s="41">
        <f>F24-D24</f>
        <v>0</v>
      </c>
      <c r="H24" s="3"/>
      <c r="I24" s="42"/>
      <c r="J24" s="43"/>
      <c r="K24" s="44"/>
    </row>
    <row r="25" spans="1:11" ht="18" customHeight="1" x14ac:dyDescent="0.2">
      <c r="A25" s="3"/>
      <c r="B25" s="30"/>
      <c r="C25" s="34"/>
      <c r="D25" s="4"/>
      <c r="E25" s="39"/>
      <c r="F25" s="45"/>
      <c r="G25" s="41">
        <f t="shared" ref="G25:G33" si="1">F25-D25</f>
        <v>0</v>
      </c>
      <c r="H25" s="3"/>
      <c r="I25" s="42"/>
      <c r="J25" s="43"/>
      <c r="K25" s="44"/>
    </row>
    <row r="26" spans="1:11" ht="18" customHeight="1" x14ac:dyDescent="0.2">
      <c r="A26" s="3"/>
      <c r="B26" s="30"/>
      <c r="C26" s="34"/>
      <c r="D26" s="4"/>
      <c r="E26" s="39"/>
      <c r="F26" s="45"/>
      <c r="G26" s="41">
        <f t="shared" si="1"/>
        <v>0</v>
      </c>
      <c r="H26" s="3"/>
      <c r="I26" s="42"/>
      <c r="J26" s="43"/>
      <c r="K26" s="44"/>
    </row>
    <row r="27" spans="1:11" ht="18" customHeight="1" x14ac:dyDescent="0.2">
      <c r="A27" s="3"/>
      <c r="B27" s="30"/>
      <c r="C27" s="34"/>
      <c r="D27" s="4"/>
      <c r="E27" s="39"/>
      <c r="F27" s="45"/>
      <c r="G27" s="41">
        <f t="shared" si="1"/>
        <v>0</v>
      </c>
      <c r="H27" s="3"/>
      <c r="I27" s="42"/>
      <c r="J27" s="43"/>
      <c r="K27" s="44"/>
    </row>
    <row r="28" spans="1:11" ht="18" customHeight="1" x14ac:dyDescent="0.2">
      <c r="A28" s="3"/>
      <c r="B28" s="30"/>
      <c r="C28" s="34"/>
      <c r="D28" s="4"/>
      <c r="E28" s="39"/>
      <c r="F28" s="45"/>
      <c r="G28" s="41">
        <f t="shared" si="1"/>
        <v>0</v>
      </c>
      <c r="H28" s="3"/>
      <c r="I28" s="42"/>
      <c r="J28" s="43"/>
      <c r="K28" s="44"/>
    </row>
    <row r="29" spans="1:11" ht="18" customHeight="1" x14ac:dyDescent="0.2">
      <c r="A29" s="3"/>
      <c r="B29" s="30"/>
      <c r="C29" s="34"/>
      <c r="D29" s="4"/>
      <c r="E29" s="39"/>
      <c r="F29" s="45"/>
      <c r="G29" s="41">
        <f t="shared" si="1"/>
        <v>0</v>
      </c>
      <c r="H29" s="3"/>
      <c r="I29" s="42"/>
      <c r="J29" s="43"/>
      <c r="K29" s="44"/>
    </row>
    <row r="30" spans="1:11" ht="18" customHeight="1" x14ac:dyDescent="0.2">
      <c r="A30" s="6"/>
      <c r="B30" s="31"/>
      <c r="C30" s="33"/>
      <c r="D30" s="5"/>
      <c r="E30" s="46"/>
      <c r="F30" s="40"/>
      <c r="G30" s="41">
        <f t="shared" si="1"/>
        <v>0</v>
      </c>
      <c r="H30" s="6"/>
      <c r="I30" s="47"/>
      <c r="J30" s="43"/>
      <c r="K30" s="44"/>
    </row>
    <row r="31" spans="1:11" ht="18" customHeight="1" x14ac:dyDescent="0.2">
      <c r="A31" s="3"/>
      <c r="B31" s="30"/>
      <c r="C31" s="34"/>
      <c r="D31" s="4"/>
      <c r="E31" s="39"/>
      <c r="F31" s="45"/>
      <c r="G31" s="41">
        <f t="shared" si="1"/>
        <v>0</v>
      </c>
      <c r="H31" s="3"/>
      <c r="I31" s="42"/>
      <c r="J31" s="43"/>
      <c r="K31" s="44"/>
    </row>
    <row r="32" spans="1:11" ht="18" customHeight="1" x14ac:dyDescent="0.2">
      <c r="A32" s="3"/>
      <c r="B32" s="30"/>
      <c r="C32" s="34"/>
      <c r="D32" s="4"/>
      <c r="E32" s="39"/>
      <c r="F32" s="45"/>
      <c r="G32" s="41">
        <f t="shared" si="1"/>
        <v>0</v>
      </c>
      <c r="H32" s="3"/>
      <c r="I32" s="42"/>
      <c r="J32" s="43"/>
      <c r="K32" s="44"/>
    </row>
    <row r="33" spans="1:11" ht="18" customHeight="1" x14ac:dyDescent="0.2">
      <c r="A33" s="7"/>
      <c r="B33" s="32"/>
      <c r="C33" s="35"/>
      <c r="D33" s="8"/>
      <c r="E33" s="36"/>
      <c r="F33" s="9"/>
      <c r="G33" s="41">
        <f t="shared" si="1"/>
        <v>0</v>
      </c>
      <c r="H33" s="7"/>
      <c r="I33" s="48"/>
      <c r="J33" s="43"/>
      <c r="K33" s="44"/>
    </row>
    <row r="34" spans="1:11" ht="12" customHeight="1" x14ac:dyDescent="0.2">
      <c r="A34" s="10"/>
      <c r="B34" s="10"/>
      <c r="C34" s="11"/>
      <c r="D34" s="10"/>
      <c r="E34" s="10"/>
      <c r="F34" s="11"/>
      <c r="G34" s="12"/>
      <c r="H34" s="12"/>
      <c r="I34" s="12"/>
      <c r="J34" s="12"/>
      <c r="K34" s="12"/>
    </row>
    <row r="35" spans="1:11" ht="18" customHeight="1" x14ac:dyDescent="0.2">
      <c r="B35" s="13"/>
      <c r="C35" s="14"/>
      <c r="D35" s="14"/>
      <c r="E35" s="50" t="s">
        <v>6</v>
      </c>
      <c r="F35" s="51"/>
      <c r="G35" s="41">
        <f>SUM(G9:G33)</f>
        <v>0</v>
      </c>
      <c r="H35" s="15" t="s">
        <v>10</v>
      </c>
      <c r="I35" s="58">
        <f>SUM(I9:I33)</f>
        <v>0</v>
      </c>
      <c r="J35" s="59"/>
      <c r="K35" s="60"/>
    </row>
    <row r="37" spans="1:11" x14ac:dyDescent="0.2">
      <c r="A37" s="70"/>
      <c r="B37" s="70"/>
      <c r="C37" s="70"/>
      <c r="D37" s="70"/>
      <c r="E37" s="71"/>
      <c r="F37" s="71"/>
      <c r="G37" s="71"/>
      <c r="H37" s="71"/>
      <c r="I37" s="71"/>
      <c r="J37" s="71"/>
      <c r="K37" s="71"/>
    </row>
    <row r="38" spans="1:11" x14ac:dyDescent="0.2">
      <c r="A38" s="70"/>
      <c r="B38" s="70"/>
      <c r="C38" s="70"/>
      <c r="D38" s="70"/>
      <c r="E38" s="71"/>
      <c r="F38" s="71"/>
      <c r="G38" s="71"/>
      <c r="H38" s="71"/>
      <c r="I38" s="71"/>
      <c r="J38" s="71"/>
      <c r="K38" s="71"/>
    </row>
    <row r="39" spans="1:11" x14ac:dyDescent="0.2">
      <c r="A39" s="70"/>
      <c r="B39" s="70"/>
      <c r="C39" s="70"/>
      <c r="D39" s="70"/>
      <c r="E39" s="17"/>
      <c r="F39" s="17"/>
      <c r="G39" s="17"/>
      <c r="H39" s="17"/>
      <c r="I39" s="17"/>
      <c r="J39" s="17"/>
      <c r="K39" s="17"/>
    </row>
    <row r="40" spans="1:11" x14ac:dyDescent="0.2">
      <c r="A40" s="70"/>
      <c r="B40" s="70"/>
      <c r="C40" s="70"/>
      <c r="D40" s="70"/>
      <c r="E40" s="72"/>
      <c r="F40" s="72"/>
      <c r="G40" s="72"/>
      <c r="H40" s="72"/>
      <c r="I40" s="72"/>
      <c r="J40" s="72"/>
      <c r="K40" s="72"/>
    </row>
    <row r="41" spans="1:11" x14ac:dyDescent="0.2">
      <c r="A41" s="70"/>
      <c r="B41" s="70"/>
      <c r="C41" s="70"/>
      <c r="D41" s="70"/>
      <c r="E41" s="17"/>
      <c r="F41" s="17"/>
      <c r="G41" s="17"/>
      <c r="H41" s="17"/>
      <c r="I41" s="17"/>
      <c r="J41" s="17"/>
      <c r="K41" s="17"/>
    </row>
    <row r="42" spans="1:11" x14ac:dyDescent="0.2">
      <c r="A42" s="70"/>
      <c r="B42" s="70"/>
      <c r="C42" s="70"/>
      <c r="D42" s="70"/>
      <c r="E42" s="73"/>
      <c r="F42" s="73"/>
      <c r="G42" s="73"/>
      <c r="H42" s="73"/>
      <c r="I42" s="73"/>
      <c r="J42" s="73"/>
      <c r="K42" s="73"/>
    </row>
    <row r="43" spans="1:11" x14ac:dyDescent="0.2">
      <c r="A43" s="70"/>
      <c r="B43" s="70"/>
      <c r="C43" s="70"/>
      <c r="D43" s="70"/>
      <c r="E43" s="72"/>
      <c r="F43" s="72"/>
      <c r="G43" s="72"/>
      <c r="H43" s="72"/>
      <c r="I43" s="72"/>
      <c r="J43" s="72"/>
      <c r="K43" s="72"/>
    </row>
  </sheetData>
  <sheetProtection algorithmName="SHA-512" hashValue="bkLWH7MSFGqwjpahgCKWplqrNBz2LiXemcQon/CLC9dIgI3COEB9a42Qkf5IrVr1wVYx2rfNxbMfhGlYftIY9Q==" saltValue="a4/RtWNQFsA5YYHB9D5n0A==" spinCount="100000" sheet="1" objects="1" scenarios="1"/>
  <mergeCells count="16">
    <mergeCell ref="A37:D43"/>
    <mergeCell ref="E37:K38"/>
    <mergeCell ref="E40:K40"/>
    <mergeCell ref="E42:K42"/>
    <mergeCell ref="E43:K43"/>
    <mergeCell ref="A2:A5"/>
    <mergeCell ref="C2:H2"/>
    <mergeCell ref="C3:H3"/>
    <mergeCell ref="G4:H4"/>
    <mergeCell ref="B5:H6"/>
    <mergeCell ref="A7:A8"/>
    <mergeCell ref="B7:B8"/>
    <mergeCell ref="H7:I7"/>
    <mergeCell ref="J7:K8"/>
    <mergeCell ref="E35:F35"/>
    <mergeCell ref="I35:K35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Janeiro!Area_de_impressao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 Tecnologia</dc:creator>
  <cp:lastModifiedBy>Suporte WPS</cp:lastModifiedBy>
  <cp:lastPrinted>2025-07-07T21:30:31Z</cp:lastPrinted>
  <dcterms:created xsi:type="dcterms:W3CDTF">2012-08-28T19:16:07Z</dcterms:created>
  <dcterms:modified xsi:type="dcterms:W3CDTF">2025-11-03T22:12:19Z</dcterms:modified>
</cp:coreProperties>
</file>